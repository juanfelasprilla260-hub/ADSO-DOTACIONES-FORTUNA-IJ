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Felipe_Eth\Documents\"/>
    </mc:Choice>
  </mc:AlternateContent>
  <xr:revisionPtr revIDLastSave="0" documentId="8_{CBE6588F-C374-47DA-AC0C-95703B722317}" xr6:coauthVersionLast="47" xr6:coauthVersionMax="47" xr10:uidLastSave="{00000000-0000-0000-0000-000000000000}"/>
  <bookViews>
    <workbookView xWindow="-108" yWindow="-108" windowWidth="23256" windowHeight="12456" firstSheet="12" activeTab="17" xr2:uid="{00000000-000D-0000-FFFF-FFFF00000000}"/>
  </bookViews>
  <sheets>
    <sheet name="Portada" sheetId="1" r:id="rId1"/>
    <sheet name="Portatil admid" sheetId="2" r:id="rId2"/>
    <sheet name="Ram portatil Admin" sheetId="3" r:id="rId3"/>
    <sheet name="Disco duro externo Portatil Adm" sheetId="5" r:id="rId4"/>
    <sheet name="Almacenamiento Portatil Admin" sheetId="4" r:id="rId5"/>
    <sheet name="Mouse Admin" sheetId="6" r:id="rId6"/>
    <sheet name="Portatil nosotros" sheetId="7" r:id="rId7"/>
    <sheet name="Almacenamiento nosotros" sheetId="8" r:id="rId8"/>
    <sheet name="RAM nosotros" sheetId="9" r:id="rId9"/>
    <sheet name="Mouse nosotros" sheetId="10" r:id="rId10"/>
    <sheet name="Disco duro externo nosotros" sheetId="11" r:id="rId11"/>
    <sheet name="windows 11 licencia" sheetId="12" r:id="rId12"/>
    <sheet name="Servicio Nube" sheetId="13" r:id="rId13"/>
    <sheet name="Ensamblaje" sheetId="14" r:id="rId14"/>
    <sheet name="ParaFiscales" sheetId="15" r:id="rId15"/>
    <sheet name="Plan de Inversion" sheetId="16" r:id="rId16"/>
    <sheet name="Gastos de Personal" sheetId="17" r:id="rId17"/>
    <sheet name="Costo del Proyecto" sheetId="19" r:id="rId18"/>
    <sheet name="Consolidado" sheetId="18" r:id="rId19"/>
  </sheets>
  <externalReferences>
    <externalReference r:id="rId2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2" roundtripDataChecksum="VkXk1Fm5aqwthT+kHNu/7P4uZX9P/PQxltUV2buTJ1Q="/>
    </ext>
  </extLst>
</workbook>
</file>

<file path=xl/calcChain.xml><?xml version="1.0" encoding="utf-8"?>
<calcChain xmlns="http://schemas.openxmlformats.org/spreadsheetml/2006/main">
  <c r="C9" i="19" l="1"/>
  <c r="C10" i="19"/>
  <c r="C11" i="19" l="1"/>
  <c r="I16" i="17" l="1"/>
  <c r="H16" i="17"/>
  <c r="G16" i="17"/>
  <c r="F16" i="17"/>
  <c r="D16" i="17"/>
  <c r="H15" i="18"/>
  <c r="H16" i="18"/>
  <c r="H14" i="18"/>
  <c r="H18" i="18"/>
  <c r="H17" i="18"/>
  <c r="H19" i="18"/>
  <c r="G19" i="18"/>
  <c r="F19" i="18"/>
  <c r="K11" i="17"/>
  <c r="C11" i="17"/>
  <c r="I10" i="17"/>
  <c r="F10" i="17"/>
  <c r="E10" i="17"/>
  <c r="G10" i="17" s="1"/>
  <c r="I9" i="17"/>
  <c r="F9" i="17"/>
  <c r="G9" i="17" s="1"/>
  <c r="E9" i="17"/>
  <c r="L7" i="17"/>
  <c r="I7" i="17"/>
  <c r="H7" i="17"/>
  <c r="J7" i="17" s="1"/>
  <c r="G7" i="17"/>
  <c r="F7" i="17"/>
  <c r="E7" i="17"/>
  <c r="I6" i="17"/>
  <c r="H6" i="17"/>
  <c r="F6" i="17"/>
  <c r="E6" i="17"/>
  <c r="L6" i="17" s="1"/>
  <c r="I5" i="17"/>
  <c r="H5" i="17"/>
  <c r="F5" i="17"/>
  <c r="E5" i="17"/>
  <c r="L5" i="17" s="1"/>
  <c r="I4" i="17"/>
  <c r="H4" i="17"/>
  <c r="F4" i="17"/>
  <c r="E4" i="17"/>
  <c r="G4" i="17" s="1"/>
  <c r="F35" i="16"/>
  <c r="F34" i="16"/>
  <c r="F33" i="16"/>
  <c r="F32" i="16"/>
  <c r="F31" i="16"/>
  <c r="F30" i="16"/>
  <c r="F29" i="16"/>
  <c r="F28" i="16"/>
  <c r="F27" i="16"/>
  <c r="F21" i="16"/>
  <c r="F20" i="16"/>
  <c r="F19" i="16"/>
  <c r="F18" i="16"/>
  <c r="F17" i="16"/>
  <c r="F16" i="16"/>
  <c r="F15" i="16"/>
  <c r="F14" i="16"/>
  <c r="F13" i="16"/>
  <c r="F7" i="16"/>
  <c r="F6" i="16"/>
  <c r="F5" i="16"/>
  <c r="F4" i="16"/>
  <c r="F27" i="15"/>
  <c r="C27" i="15"/>
  <c r="G26" i="15"/>
  <c r="H26" i="15" s="1"/>
  <c r="C26" i="15"/>
  <c r="G25" i="15"/>
  <c r="H25" i="15" s="1"/>
  <c r="C25" i="15"/>
  <c r="G24" i="15"/>
  <c r="H24" i="15" s="1"/>
  <c r="G23" i="15"/>
  <c r="H23" i="15" s="1"/>
  <c r="G22" i="15"/>
  <c r="H22" i="15" s="1"/>
  <c r="C17" i="15"/>
  <c r="C11" i="15"/>
  <c r="C6" i="15"/>
  <c r="F11" i="17" l="1"/>
  <c r="G6" i="17"/>
  <c r="I11" i="17"/>
  <c r="J6" i="17"/>
  <c r="G5" i="17"/>
  <c r="J5" i="17"/>
  <c r="F8" i="16"/>
  <c r="I3" i="16" s="1"/>
  <c r="F22" i="16"/>
  <c r="I4" i="16" s="1"/>
  <c r="F36" i="16"/>
  <c r="I5" i="16" s="1"/>
  <c r="G27" i="15"/>
  <c r="H27" i="15"/>
  <c r="G11" i="17"/>
  <c r="J4" i="17"/>
  <c r="H10" i="17"/>
  <c r="L4" i="17"/>
  <c r="H9" i="17"/>
  <c r="E11" i="17"/>
  <c r="I6" i="16" l="1"/>
  <c r="J9" i="17"/>
  <c r="L9" i="17"/>
  <c r="H11" i="17"/>
  <c r="L10" i="17"/>
  <c r="L11" i="17" s="1"/>
  <c r="J10" i="17"/>
  <c r="J11" i="17"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<sst xmlns="http://schemas.openxmlformats.org/spreadsheetml/2006/main" count="985" uniqueCount="602">
  <si>
    <t xml:space="preserve">Elaboración Propuesta Fichas Técnicas Proyecto CheerClick Systems </t>
  </si>
  <si>
    <t xml:space="preserve">Integrantes: </t>
  </si>
  <si>
    <t>Roles del club deportivo: Administrador, Entrenador, Cliente.</t>
  </si>
  <si>
    <t>ADSO - 3354284</t>
  </si>
  <si>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</si>
  <si>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</si>
  <si>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</si>
  <si>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</si>
  <si>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</si>
  <si>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</si>
  <si>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</si>
  <si>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</si>
  <si>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</si>
  <si>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</si>
  <si>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</si>
  <si>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t>Garantía</t>
  </si>
  <si>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</si>
  <si>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Nº 1</t>
  </si>
  <si>
    <t xml:space="preserve">PORTATIL LENOVO - V14 G4 AMN </t>
  </si>
  <si>
    <t>474,18</t>
  </si>
  <si>
    <t>Contado</t>
  </si>
  <si>
    <t>1 año</t>
  </si>
  <si>
    <t>El Lenovo V14 AMN tiene Ryzen 5 7520U, 16 GB RAM, SSD 512 GB y pantalla 14″ Full HD, con gráficos Radeon 610M, WiFi ac y FreeDOS.</t>
  </si>
  <si>
    <t xml:space="preserve">Nº2 </t>
  </si>
  <si>
    <t>Exito</t>
  </si>
  <si>
    <t>https://www.exito.com/portatil-lenovo-v14-g4-amn-amd-ryzen-5-7520u-16gb-ssd512gb-156-win-11-de-prueba-103253633-mp/p?idsku=103253633&amp;srsltid=AfmBOoqdyqQH0j3UkD2IZrM8MsVXaowHdOoFs179VDVw_O-FFEt5L5RPZyE</t>
  </si>
  <si>
    <t>456,67</t>
  </si>
  <si>
    <t>El Lenovo V14 de 4.ª generación con AMD Ryzen ofrece buen rendimiento, Wi-Fi 6, Bluetooth 5.0, varios puertos y resistencia militar 810H, ideal para trabajo o estudio.</t>
  </si>
  <si>
    <t>Nº 3</t>
  </si>
  <si>
    <t>Mercado libre</t>
  </si>
  <si>
    <t>https://www.mercadolibre.com.co/portatil-lenovo-v14-g4-amn-amd-ryzen-5-7520u-16gb-512gb-fhd-14-color-gris/p/MCO45053079?pdp_filters=item_id%3AMCO2947822406&amp;from=gshop&amp;matt_tool=87585337&amp;matt_word=&amp;matt_source=google&amp;matt_campaign_id=22126928786&amp;matt_ad_group_id=173140661443&amp;matt_match_type=&amp;matt_network=g&amp;matt_device=c&amp;matt_creative=729836849962&amp;matt_keyword=&amp;matt_ad_position=&amp;matt_ad_type=pla&amp;matt_merchant_id=735127761&amp;matt_product_id=MCO45053079-product&amp;matt_product_partition_id=2389933078058&amp;matt_target_id=pla-2389933078058&amp;cq_src=google_ads&amp;cq_cmp=22126928786&amp;cq_net=g&amp;cq_plt=gp&amp;cq_med=pla&amp;gad_source=4&amp;gad_campaignid=22126928786&amp;gclid=Cj0KCQjwsdnNBhC4ARIsAA_3hehZmNmorHRXA7_8HlblU0iW2-kiIXruU_z4KOS5hmAN95fsypdjtcEaAm1KEALw_wcB</t>
  </si>
  <si>
    <t>453,64</t>
  </si>
  <si>
    <t>Portatil Lenovo V14 G4 AMN AMD Ryzen 5 7520U 16gb 512gb Fhd 14 Color Gris</t>
  </si>
  <si>
    <r>
      <rPr>
        <b/>
        <sz val="10"/>
        <color theme="1"/>
        <rFont val="Arial"/>
      </rP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</si>
  <si>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</si>
  <si>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</si>
  <si>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</si>
  <si>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</si>
  <si>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</si>
  <si>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</si>
  <si>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</si>
  <si>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</si>
  <si>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</si>
  <si>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https://www.exito.com/memoria-ram-16gb-ddr4-3200mhz-attech-para-portatil-104852224-mp/p?idsku=104852224&amp;srsltid=AfmBOooaU4HzfFuGmZoUy9X8MdqiUeIpSI_pPfZC4B6p64bIrDdUj0puV2I</t>
  </si>
  <si>
    <t>16 RAM</t>
  </si>
  <si>
    <t>162,18</t>
  </si>
  <si>
    <t>Ddr4 3200Mhz Attech Para Portatil</t>
  </si>
  <si>
    <t>https://www.mercadolibre.com.co/memoria-ram-portatil-attech-ddr4-16gb-3200mhz/p/MCO52290549?matt_tool=19390127&amp;utm_source=google_shopping&amp;utm_medium=organic&amp;pdp_filters=item_id%3AMCO2945863306&amp;from=gshop</t>
  </si>
  <si>
    <t>169,77</t>
  </si>
  <si>
    <t>36 meses</t>
  </si>
  <si>
    <t>Optimizá el rendimiento de tu máquina con la tecnología DDR4.</t>
  </si>
  <si>
    <t>Falabella</t>
  </si>
  <si>
    <t>https://www.falabella.com.co/falabella-co/product/126378737/Memoria-ram-crucial-ddr4-16gb-3200mhz-portatil/126378738</t>
  </si>
  <si>
    <t>146,18</t>
  </si>
  <si>
    <t>6 meses</t>
  </si>
  <si>
    <t>ddr4 16gb-3200mhz portatil</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</si>
  <si>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</si>
  <si>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</si>
  <si>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</si>
  <si>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</si>
  <si>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</si>
  <si>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</si>
  <si>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</si>
  <si>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</si>
  <si>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</si>
  <si>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</si>
  <si>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Unilago</t>
  </si>
  <si>
    <t>https://unilago.com/producto/53338-Disco-Est?srsltid=AfmBOoruL-lQfsUbrTJoBmfuCSMPbY4XcXWeFYUkaxdoZs6XwZYXag5VzcM</t>
  </si>
  <si>
    <t>512 GB</t>
  </si>
  <si>
    <t>104,78</t>
  </si>
  <si>
    <t>Capacidad: 512 Gb\nVel. de Lectura: 1600MB/s\nVel. de Escritura: 1600MB/s\nFactor de Forma: M2 PCIE NVME\nGarantia: 36 meses</t>
  </si>
  <si>
    <t>https://www.mercadolibre.com.co/disco-solido-ssd-interno-kingspec-ne512-512gb-m2-mvme-2280/up/MCOU2477622600</t>
  </si>
  <si>
    <t>91,79</t>
  </si>
  <si>
    <t>M.2 2280</t>
  </si>
  <si>
    <t>https://www.exito.com/disco-duro-estado-solido-ssd-hiksemi-m2-pcie-nvme-512gb-104226281-mp/p?idsku=104226281&amp;srsltid=AfmBOorUzAd3JS7H-EdGjUP3yMwNexywbYTmrkV28JZHi6ZmprT0P7ElqJc</t>
  </si>
  <si>
    <t>94,74</t>
  </si>
  <si>
    <t>Hiksemi M2 Pcie Nvme 512Gb</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</si>
  <si>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</si>
  <si>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</si>
  <si>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</si>
  <si>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</si>
  <si>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</si>
  <si>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</si>
  <si>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</si>
  <si>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b/>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</si>
  <si>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</si>
  <si>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</si>
  <si>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https://articulo.mercadolibre.com.co/MCO-2236719560-disco-duro-externo-de-1-tb-de-estilo-nuevo-_JM?matt_tool=19390127&amp;utm_source=google_shopping&amp;utm_medium=organic</t>
  </si>
  <si>
    <t>Disco duro Extendo 1 TB</t>
  </si>
  <si>
    <t>13,32</t>
  </si>
  <si>
    <t>60 días</t>
  </si>
  <si>
    <t>SSD portátil USB 3.1 con alta velocidad de transferencia, gran capacidad, conector OTG, diseño delgado y resistente de aluminio, y amplia compatibilidad con varios dispositivos.</t>
  </si>
  <si>
    <t>Ktronix</t>
  </si>
  <si>
    <t>https://www.ktronix.com/disco-estado-solido-externo-ssd-kingston-xs1000-1tb-rojo/p/740617343748?utm_source=google&amp;utm_medium=organic&amp;utm_campaign=Shopping-organico&amp;srsltid=AfmBOopSoaXg4kZta4TC0pM8kGWRhkvq21vh-XjaQANXGX_sZ_mSEwwnn0g</t>
  </si>
  <si>
    <t>135,11</t>
  </si>
  <si>
    <t>La SSD XS1000 de Kingston es compacta, ligera y rápida, ideal para guardar y transferir archivos fácilmente en cualquier lugar.</t>
  </si>
  <si>
    <t>Alkosto</t>
  </si>
  <si>
    <t>https://www.alkosto.com/disco-duro-toshiba-ready-1-tb/p/723844000851?utm_source=google&amp;utm_medium=organic&amp;utm_campaign=Shopping-Organico&amp;srsltid=AfmBOoq20RRhpBms0yg02Lc1nei79ck9okHFJF9yeDTM7CqF4wGeGbYceyo</t>
  </si>
  <si>
    <t>El disco duro portátil Canvio Ready de Toshiba ofrece 1TB de almacenamiento, funcionamiento plug and play y un diseño compacto y elegante, permitiendo guardar archivos fácilmente con solo arrastrar y soltar.</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</si>
  <si>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</si>
  <si>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</si>
  <si>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</si>
  <si>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</si>
  <si>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</si>
  <si>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</si>
  <si>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</si>
  <si>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</si>
  <si>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</si>
  <si>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</si>
  <si>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https://www.falabella.com.co/falabella-co/product/127667703/Mouse-Logitech-M650-INALAMBRICO-GRIS/127667704</t>
  </si>
  <si>
    <t>Mouse Logitech M650</t>
  </si>
  <si>
    <t>51,42</t>
  </si>
  <si>
    <t>El Logitech Signature M650 es un mouse inalámbrico con sensor óptico de hasta 4000 DPI, 5 botones, conexión USB o Bluetooth, batería de hasta 24 meses y diseño compacto con materiales reciclados.</t>
  </si>
  <si>
    <t>https://www.alkosto.com/mouse-logitech-inalambrico-optico-mediano-m650-gris/p/097855167637?utm_source=google&amp;utm_medium=organic&amp;utm_campaign=Shopping-Organico&amp;srsltid=AfmBOoq_LcPgn-8EbwOkN8l4T0e4ZFuGI-3mamtXRjHucysBso3X2YDiGRQ</t>
  </si>
  <si>
    <t>48,71</t>
  </si>
  <si>
    <t>El Logitech Signature M650 ofrece comodidad y productividad, con rueda SmartWheel, clics silenciosos, botones personalizables y diseño ergonómico inalámbrico.</t>
  </si>
  <si>
    <t>https://www.exito.com/mouse-inalambrico-logitech-m650-l-dual-usb-bluetooth-102123137-mp/p?idsku=102123137&amp;srsltid=AfmBOortGD6votW2UoNZw-19jenH_pPPgxuCBUCokFRX8FrQzlMM34ac2gk</t>
  </si>
  <si>
    <t>50,06</t>
  </si>
  <si>
    <t>El Logitech Signature M650 L es un mouse inalámbrico ergonómico con rueda SmartWheel, clics silenciosos y conexión por Bluetooth o USB.</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</si>
  <si>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</si>
  <si>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</si>
  <si>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Arial"/>
      </rPr>
      <t>Empresa</t>
    </r>
    <r>
      <rPr>
        <i/>
        <sz val="10"/>
        <color theme="1"/>
        <rFont val="Arial"/>
      </rPr>
      <t xml:space="preserve">
(Nombre fiscal de la empresa)</t>
    </r>
  </si>
  <si>
    <r>
      <rPr>
        <b/>
        <sz val="10"/>
        <color theme="1"/>
        <rFont val="Arial"/>
      </rPr>
      <t>Nº de CUIT, Dirección, Teléfono</t>
    </r>
    <r>
      <rPr>
        <i/>
        <sz val="10"/>
        <color theme="1"/>
        <rFont val="Arial"/>
      </rPr>
      <t xml:space="preserve">
(Datos de la empresa)</t>
    </r>
  </si>
  <si>
    <r>
      <rPr>
        <b/>
        <sz val="10"/>
        <color theme="1"/>
        <rFont val="Arial"/>
      </rPr>
      <t>Descripción del
bien/ servicio (b)</t>
    </r>
    <r>
      <rPr>
        <i/>
        <sz val="10"/>
        <color theme="1"/>
        <rFont val="Arial"/>
      </rPr>
      <t xml:space="preserve">
Características de los bienes/ servicios</t>
    </r>
  </si>
  <si>
    <r>
      <rPr>
        <b/>
        <sz val="10"/>
        <color theme="1"/>
        <rFont val="Arial"/>
      </rPr>
      <t xml:space="preserve">Importe Unitario
</t>
    </r>
    <r>
      <rPr>
        <i/>
        <sz val="10"/>
        <color theme="1"/>
        <rFont val="Arial"/>
      </rPr>
      <t>(moneda nacional)</t>
    </r>
  </si>
  <si>
    <r>
      <rPr>
        <b/>
        <u/>
        <sz val="10"/>
        <color theme="1"/>
        <rFont val="Arial"/>
      </rPr>
      <t xml:space="preserve">Importe Total
 IVA incluido
</t>
    </r>
    <r>
      <rPr>
        <i/>
        <u/>
        <sz val="10"/>
        <color theme="1"/>
        <rFont val="Arial"/>
      </rPr>
      <t>(moneda nacional)</t>
    </r>
  </si>
  <si>
    <r>
      <rPr>
        <b/>
        <sz val="10"/>
        <color theme="1"/>
        <rFont val="Arial"/>
      </rPr>
      <t xml:space="preserve">Importe Total
</t>
    </r>
    <r>
      <rPr>
        <i/>
        <sz val="10"/>
        <color theme="1"/>
        <rFont val="Arial"/>
      </rPr>
      <t>(moneda extranjera)</t>
    </r>
  </si>
  <si>
    <r>
      <rPr>
        <b/>
        <sz val="10"/>
        <color theme="1"/>
        <rFont val="Arial"/>
      </rPr>
      <t xml:space="preserve">Forma de Pago 
</t>
    </r>
    <r>
      <rPr>
        <i/>
        <sz val="10"/>
        <color theme="1"/>
        <rFont val="Arial"/>
      </rPr>
      <t>(Contado o Cheque)</t>
    </r>
  </si>
  <si>
    <r>
      <rPr>
        <b/>
        <sz val="10"/>
        <color theme="1"/>
        <rFont val="Arial"/>
      </rPr>
      <t xml:space="preserve">Observaciones </t>
    </r>
    <r>
      <rPr>
        <i/>
        <sz val="10"/>
        <color theme="1"/>
        <rFont val="Arial"/>
      </rPr>
      <t xml:space="preserve">
(se debe incluir toda aquella característica que no ha sido posible incluir anteriormente)</t>
    </r>
  </si>
  <si>
    <t>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t>
  </si>
  <si>
    <t xml:space="preserve">Portátil ASUS VivoBook 15 </t>
  </si>
  <si>
    <t>542,23</t>
  </si>
  <si>
    <t>El ASUS Vivobook M1502YA ofrece Ryzen 7, 16 GB de RAM, SSD de 512 GB y pantalla 15.6″ Full HD.</t>
  </si>
  <si>
    <t>536,78</t>
  </si>
  <si>
    <t>Ryzen 7 5825U, 16 GB RAM, SSD 512 GB, Windows 11 Home, pantalla Full HD (1920×1080), Bluetooth, teclado numérico y audio SonicMaster.</t>
  </si>
  <si>
    <t>Asus Colombia</t>
  </si>
  <si>
    <t>https://co.store.asus.com/90nb0x22-m017c0-portatil-portatil-asus-vivobook-15-m1502ya-r7-16gb-512gb-ssd-amd-radeon-15-m1502ya-nj180w.html?gad_source=4&amp;gad_campaignid=17419861357&amp;gclid=Cj0KCQjwsdnNBhC4ARIsAA_3hehifBu4LJkQTXtdsiGdK3S2Yzc9_kKTreCKiKNSasjNwQ2jO-E1ql8aAgZ8EALw_wcB</t>
  </si>
  <si>
    <t>609,98</t>
  </si>
  <si>
    <t>Ryzen 7 7730U, 16 GB RAM, SSD 512 GB, pantalla 15.6″ Full HD, gráficos Radeon, Windows 11 Home, lector de huella y certificación MIL-STD 810H</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</si>
  <si>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</si>
  <si>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</si>
  <si>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</si>
  <si>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</si>
  <si>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</si>
  <si>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</si>
  <si>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</si>
  <si>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</si>
  <si>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</si>
  <si>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</si>
  <si>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</si>
  <si>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</si>
  <si>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</si>
  <si>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</si>
  <si>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</si>
  <si>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</si>
  <si>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</si>
  <si>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</si>
  <si>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</si>
  <si>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</si>
  <si>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</si>
  <si>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https://www.mercadolibre.com.co/memoria-adata-ram-portatil-ddr5-16gb-bus-4800/up/MCOU2483034876</t>
  </si>
  <si>
    <t>16 GB RAM DDR5</t>
  </si>
  <si>
    <t>326,78</t>
  </si>
  <si>
    <t>Memoria DDR5 SODIMM que mejora el rendimiento del equipo, con velocidad de hasta 4.8 GHz y una tasa de transferencia de 21.3 GB/s, ideal para optimizar el desempeño del computador.</t>
  </si>
  <si>
    <t>https://www.falabella.com.co/falabella-co/product/132167823/Memoria-Ram-Adata-Para-Portatil-O-Aio-16gb-Ddr5-4800-MHz/132167824</t>
  </si>
  <si>
    <t>203,04</t>
  </si>
  <si>
    <t>Memoria Ram Adata Para Portatil O Aio 16gb Ddr5 4800 MHz</t>
  </si>
  <si>
    <t>https://www.exito.com/memoria-ram-portatil-16gb-ddr5-adata-4800-mts-102561351-mp/p?idsku=102561351&amp;srsltid=AfmBOorr8ZTnvWbBCaj0tAL00_P6AQF-hL5xw-v_nvKFt9ZzNkHoYYIcH_w</t>
  </si>
  <si>
    <t>243,41</t>
  </si>
  <si>
    <t>Memoria DDR5-4800 SO-DIMM con mayor velocidad, mejor estabilidad gracias a la corrección de errores y mayor eficiencia energética al funcionar a 1,1 V.</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</si>
  <si>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</si>
  <si>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</si>
  <si>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</si>
  <si>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</si>
  <si>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</si>
  <si>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</si>
  <si>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</si>
  <si>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</si>
  <si>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b/>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</si>
  <si>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</si>
  <si>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</si>
  <si>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https://www.mercadolibre.com.co/mouse-logitech-mx-master-3s-inalambrico-10m-color-grafito/p/MCO2057634967?matt_tool=19390127&amp;utm_source=google_shopping&amp;utm_medium=organic&amp;pdp_filters=item_id%3AMCO2928069778&amp;from=gshop</t>
  </si>
  <si>
    <t xml:space="preserve">Mouse Logitech Mx Master 3s
</t>
  </si>
  <si>
    <t>135,35</t>
  </si>
  <si>
    <t>Inalámbrico 10m Color Grafito</t>
  </si>
  <si>
    <t>https://www.exito.com/mouse-inalambrico-recargable-logitech-mx-master-3s-grafito-102214351-mp/p?idsku=102214351&amp;srsltid=AfmBOoq9Xsr4XUFw85B8u3pz40gh-367Q5VOdKIrJ3tVwbhf2Dt2dGAXg80</t>
  </si>
  <si>
    <t>161,10</t>
  </si>
  <si>
    <t>El MX Master 3S es un mouse inalámbrico con sensor Darkfield de hasta 8000 dpi, 7 botones, rueda SmartShift y batería recargable con carga rápida.</t>
  </si>
  <si>
    <t>https://www.alkosto.com/mouse-logitech-inalambrico-bluetooth-optico-mx-master-3s/p/097855175359?utm_source=google&amp;utm_medium=organic&amp;utm_campaign=Shopping-Organico&amp;srsltid=AfmBOoopbFAEMc5d7ACI0-PuAfwymwQtAgO2df3p-7Oh4Nhn1rx-hMReoz8</t>
  </si>
  <si>
    <t>167,84</t>
  </si>
  <si>
    <t>El MX Master 3S es un mouse con sensor de 8000 dpi, clics silenciosos, hasta 70 días de batería y conexión a tres dispositivos por Bluetooth o Logi Bolt.</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</si>
  <si>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</si>
  <si>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</si>
  <si>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</si>
  <si>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</si>
  <si>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</si>
  <si>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</si>
  <si>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</si>
  <si>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</si>
  <si>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</si>
  <si>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</si>
  <si>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</si>
  <si>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</si>
  <si>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</si>
  <si>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</si>
  <si>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</si>
  <si>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</si>
  <si>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</si>
  <si>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</si>
  <si>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</si>
  <si>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</si>
  <si>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Eneba</t>
  </si>
  <si>
    <t>https://www.eneba.com/es/microsoft-windows-microsoft-windows-11-professional-key-global/frosty-entertainment?product=digital&amp;currency=COP&amp;utm_adid=&amp;utm_campaign=&amp;utm_content=&amp;utm_source=google-ads&amp;utm_term=&amp;gad_source=4&amp;gad_campaignid=19499769054&amp;gclid=Cj0KCQjwsdnNBhC4ARIsAA_3hehjcBU4WTYWr1WNUvm-Xi6Q28fzcJ5STRRdAFmQ4Rztb-NgqE8ChboaAkvfEALw_wcB</t>
  </si>
  <si>
    <t>Microsoft Windows 11 Pro</t>
  </si>
  <si>
    <t>10,14</t>
  </si>
  <si>
    <t>Proporciona una clave que permite la activacion de Windows 11 Pro</t>
  </si>
  <si>
    <t>https://articulo.mercadolibre.com.co/MCO-1847545845-licencia-windows-1011-pro-clave-de-activacion-original-_JM?matt_tool=42084218&amp;matt_word=&amp;matt_source=google&amp;matt_campaign_id=23547382064&amp;matt_ad_group_id=198736076811&amp;matt_match_type=&amp;matt_network=g&amp;matt_device=c&amp;matt_creative=796800778046&amp;matt_keyword=&amp;matt_ad_position=&amp;matt_ad_type=pla&amp;matt_merchant_id=5739952429&amp;matt_product_id=MCO1847545845&amp;matt_product_partition_id=2453251494616&amp;matt_target_id=pla-2453251494616&amp;cq_src=google_ads&amp;cq_cmp=23547382064&amp;cq_net=g&amp;cq_plt=gp&amp;cq_med=pla&amp;gad_source=4&amp;gad_campaignid=23547382064&amp;gclid=Cj0KCQjwsdnNBhC4ARIsAA_3hejpAFAgMl4XBcZ6WfOBZNZvubx28-LxlpLM-WKHnDQgsux4GHLFQx0aAi5VEALw_wcB</t>
  </si>
  <si>
    <t>Licencia Windows 10/11 Pro</t>
  </si>
  <si>
    <t>10,56</t>
  </si>
  <si>
    <t>Clave De Activacion Original, duracion permanente</t>
  </si>
  <si>
    <t xml:space="preserve">Revolution software Colombia </t>
  </si>
  <si>
    <t>https://revolutionsoft.com.co/windows-11/windows-11-pro.html?id_product_attribute=0&amp;gad_source=1&amp;gad_campaignid=23455508345&amp;gclid=Cj0KCQjwsdnNBhC4ARIsAA_3heh6bxXgaXqyBGVlcKNdyYTDoRoNcOMNnE_-QZjKSYuc1RfEXdSFUBwaAjOQEALw_wcB</t>
  </si>
  <si>
    <t>Licencia Windows 11 PRO</t>
  </si>
  <si>
    <t>18,76</t>
  </si>
  <si>
    <t>Licencia de Windows 11 Pro para 1 PC. Activación permanente con Product Key original de Microsoft. Incluye BitLocker, Escritorio Remoto, Hyper-V, cifrado de dispositivo y todas las funciones profesionales. Sin suscripción.</t>
  </si>
  <si>
    <r>
      <rPr>
        <b/>
        <sz val="10"/>
        <color theme="1"/>
        <rFont val="Arial"/>
      </rP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</si>
  <si>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</si>
  <si>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Servicio Paas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</si>
  <si>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</si>
  <si>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</si>
  <si>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</si>
  <si>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</si>
  <si>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</si>
  <si>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</si>
  <si>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</si>
  <si>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</si>
  <si>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Microsoft Colombia SAS</t>
  </si>
  <si>
    <t>https://www.heroku.com/pricing/#managed-data-services</t>
  </si>
  <si>
    <t>Azure App Service - Plan Basic: PaaS para aplicaciones web y APIs.</t>
  </si>
  <si>
    <t>512 MB RAM, despliegue vía Git/GitHub y métricas básicas.</t>
  </si>
  <si>
    <t>https://azure.microsoft.com/es-es/pricing/details/app-service/linux/</t>
  </si>
  <si>
    <t>Azure App Service - Plan Basic (B1): PaaS para aplicaciones web y APIs.</t>
  </si>
  <si>
    <t>1.75 GB RAM, 10 GB almacenamiento, dominio personalizado y certificados SSL.</t>
  </si>
  <si>
    <t>Google Colombia Service S.A.S.</t>
  </si>
  <si>
    <t>https://cloud.google.com/appengine/pricing?hl=es</t>
  </si>
  <si>
    <t>Instancia Tipo B1 (Escalado Básico).</t>
  </si>
  <si>
    <t xml:space="preserve">128 MB RAM, 600 MHz CPU, incluye 9 horas gratis al día por proyecto. </t>
  </si>
  <si>
    <t>Servicio DBaas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</si>
  <si>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</si>
  <si>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</si>
  <si>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</si>
  <si>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</si>
  <si>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</si>
  <si>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</si>
  <si>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</si>
  <si>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</si>
  <si>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Salesforce.com, Inc. (Heroku)</t>
  </si>
  <si>
    <t>https://devcenter.heroku.com/articles/heroku-postgres-plans</t>
  </si>
  <si>
    <t>Plan Esencial-0</t>
  </si>
  <si>
    <t>1 GB de almacenamiento, 20 conexiones simultáneas, RAM compartida.</t>
  </si>
  <si>
    <t>MongoDB Colombia</t>
  </si>
  <si>
    <t>https://www.mongodb.com/pricing</t>
  </si>
  <si>
    <t>2 GB RAM dedicada, 10 GB almacenamiento SSD, copias de seguridad automáticas y red redundante.</t>
  </si>
  <si>
    <t>Oracle Colombia S.A.S.</t>
  </si>
  <si>
    <t>https://www.oracle.com/autonomous-database/pricing/?source=:ow:o:p:mt:::ODBHeader_latam</t>
  </si>
  <si>
    <t>MySQL Database Service con HeatWave</t>
  </si>
  <si>
    <t>1 ECPU, 150 GB de Almacenamiento SSD y 100 GB de Backup. Incluye soporte empresarial y alta disponibilidad.</t>
  </si>
  <si>
    <t>Servicio Iaas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</si>
  <si>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</si>
  <si>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</si>
  <si>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</si>
  <si>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</si>
  <si>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</si>
  <si>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</si>
  <si>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</si>
  <si>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</si>
  <si>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Amazon Data Services Colombia S.A.S.</t>
  </si>
  <si>
    <t>https://aws.amazon.com/es/ec2/pricing/</t>
  </si>
  <si>
    <t>Instancia EC2 t3.medium</t>
  </si>
  <si>
    <t>2 vCPU, 4 GiB RAM. Ideal para servidores web empresariales.</t>
  </si>
  <si>
    <t>DigitalOcean</t>
  </si>
  <si>
    <t>https://www.digitalocean.com/pricing</t>
  </si>
  <si>
    <t>Droplet Basic (1GB RAM, 1 CPU)</t>
  </si>
  <si>
    <t>1 vCPU, 1 GiB RAM. Configuración básica optimizada para aplicaciones ligeras, entornos de prueba o blogs personales.</t>
  </si>
  <si>
    <t>Linode (Akamai)</t>
  </si>
  <si>
    <t>https://www.akamai.com/cloud/pricing</t>
  </si>
  <si>
    <t>Dedicated CPU (4GB RAM, 2 CPU)</t>
  </si>
  <si>
    <t>2 vCPU, 4 GiB RAM. CPU dedicada para cargas de trabajo intensivas; garantiza un rendimiento constante sin fluctuaciones de recursos shared.</t>
  </si>
  <si>
    <t>Servicio Saas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</si>
  <si>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</si>
  <si>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</si>
  <si>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</si>
  <si>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</si>
  <si>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</si>
  <si>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</si>
  <si>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</si>
  <si>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</si>
  <si>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Zoho CRM</t>
  </si>
  <si>
    <t>https://www.zoho.com/es-xl/crm/zohocrm-pricing.html</t>
  </si>
  <si>
    <t>Standard</t>
  </si>
  <si>
    <t>Incluye flujos de trabajo, automatización de ventas, paneles personalizados y hasta 100,000 registros. Ideal para PyMEs que inician en gestión digital.</t>
  </si>
  <si>
    <t>Microsoft</t>
  </si>
  <si>
    <t>https://www.microsoft.com/es-co/microsoft-365/business/microsoft-365-plans-and-pricing</t>
  </si>
  <si>
    <t>Microsoft 365 Business Standard</t>
  </si>
  <si>
    <t>Incluye versiones de escritorio de Office, 1 TB de almacenamiento en la nube, gestión de correos corporativos y herramientas de colaboración (Teams).</t>
  </si>
  <si>
    <t>Salesforce</t>
  </si>
  <si>
    <t>https://www.salesforce.com/eu/small-business/pricing/</t>
  </si>
  <si>
    <t>Paquete básico</t>
  </si>
  <si>
    <t>Solución integral de ventas, servicio y marketing en una sola app. Incluye gestión de leads y soporte al cliente para equipos pequeños.</t>
  </si>
  <si>
    <t>Servicio Caas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</si>
  <si>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</si>
  <si>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</si>
  <si>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</si>
  <si>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</si>
  <si>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</si>
  <si>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</si>
  <si>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</si>
  <si>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</si>
  <si>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https://www.digitalocean.com/pricing/app-platform</t>
  </si>
  <si>
    <t>Nivel gratuito</t>
  </si>
  <si>
    <t>Nivel gratuito para el despliegue de hasta 3 sitios estáticos. Ideal para pruebas de concepto y prototipado rápido sin gestión de servidores.</t>
  </si>
  <si>
    <t>AWS</t>
  </si>
  <si>
    <t>https://aws.amazon.com/es/fargate/pricing/</t>
  </si>
  <si>
    <t>Amazon ECS (Fargate 2vCPU/4GB)</t>
  </si>
  <si>
    <t>Amazon ECS con Fargate (vCPU/4GB). Motor de computación sin servidor para contenedores; elimina la necesidad de gestionar instancias EC2. Pago por uso basado en recursos consumidos.</t>
  </si>
  <si>
    <t>Red Hat</t>
  </si>
  <si>
    <t>https://azure.microsoft.com/es-es/pricing/details/openshift/#pricing</t>
  </si>
  <si>
    <t>OpenShift Dedicated (Managed)</t>
  </si>
  <si>
    <t>Incluye soporte premium, seguridad empresarial y operaciones integradas por Red Hat.</t>
  </si>
  <si>
    <t>Servicio Faas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</si>
  <si>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</si>
  <si>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</si>
  <si>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</si>
  <si>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</si>
  <si>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</si>
  <si>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</si>
  <si>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</si>
  <si>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</si>
  <si>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Cloudflare</t>
  </si>
  <si>
    <t>https://workers.cloudflare.com/es-es/pricing#compute</t>
  </si>
  <si>
    <t>Cloudflare Workers (Paid tier)</t>
  </si>
  <si>
    <t>Ejecución de código en el borde (Edge Computing) con latencia mínima. Incluye 10 millones de solicitudes al mes y mayor tiempo de CPU por ejecución.</t>
  </si>
  <si>
    <t>Google Cloud</t>
  </si>
  <si>
    <t>https://cloud.google.com/pricing?hl=es</t>
  </si>
  <si>
    <t>Plan gratuito</t>
  </si>
  <si>
    <t>Permite ejecutar funciones en respuesta a eventos de HTTP o triggers de Firebase. Incluye hasta 2 millones de invocaciones gratis al mes.</t>
  </si>
  <si>
    <t>Vercel</t>
  </si>
  <si>
    <t>https://vercel.com/pricing</t>
  </si>
  <si>
    <t>Vercel Pro</t>
  </si>
  <si>
    <t>Optimizado para funciones Serverless integradas con frameworks de Frontend. Incluye mayor concurrencia, logs detallados y herramientas de colaboración para equipos.</t>
  </si>
  <si>
    <t>Servicio Baas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</si>
  <si>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</si>
  <si>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</si>
  <si>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</si>
  <si>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</si>
  <si>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</si>
  <si>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</si>
  <si>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</si>
  <si>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</si>
  <si>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Supabase</t>
  </si>
  <si>
    <t>https://supabase.com/pricing</t>
  </si>
  <si>
    <t>Servicio gratuito</t>
  </si>
  <si>
    <t>Alternativa de código abierto a Firebase basada en PostgreSQL. Incluye base de datos en tiempo real, autenticación y almacenamiento de archivos hasta 500MB.</t>
  </si>
  <si>
    <t>Firebase (Google)</t>
  </si>
  <si>
    <t>https://firebase.google.com/pricing?hl=es-419</t>
  </si>
  <si>
    <t>Blaze Plan (Uso estimado)</t>
  </si>
  <si>
    <t>Incluye base de datos NoSQL (Firestore), autenticación escalable, hosting y funciones en la nube integradas.</t>
  </si>
  <si>
    <t>Appwrite</t>
  </si>
  <si>
    <t>https://appwrite.io/pricing</t>
  </si>
  <si>
    <t>Pro</t>
  </si>
  <si>
    <t>91378,08</t>
  </si>
  <si>
    <t>Backend integral para aplicaciones con soporte para bases de datos, usuarios, almacenamiento y funciones. Ofrece límites más altos de ancho de banda y soporte prioritario.</t>
  </si>
  <si>
    <t>Servicio Aaas</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</si>
  <si>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</si>
  <si>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</si>
  <si>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</si>
  <si>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</si>
  <si>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</si>
  <si>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</si>
  <si>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</si>
  <si>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</si>
  <si>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Tableau (Salesforce)</t>
  </si>
  <si>
    <t>https://www.tableau.com/pricing</t>
  </si>
  <si>
    <t>Cuadro</t>
  </si>
  <si>
    <t>54826,85</t>
  </si>
  <si>
    <t>Permite explorar dashboards y reportes compartidos con alta seguridad y gobernanza de datos.</t>
  </si>
  <si>
    <t>Power BI (MS)</t>
  </si>
  <si>
    <t>https://www.microsoft.com/es-es/power-platform/products/power-bi/pricing</t>
  </si>
  <si>
    <t>Power BI Premium Per User</t>
  </si>
  <si>
    <t>Incluye capacidades avanzadas de IA, flujos de datos para la preparación de autoservicio y administración de ciclo de vida de aplicaciones (ALM).</t>
  </si>
  <si>
    <t>Looker (Google Cloud)</t>
  </si>
  <si>
    <t>https://cloud.google.com/looker?hl=es</t>
  </si>
  <si>
    <t>Plataforma de BI moderna que utiliza un modelo semántico unificado (LookML) para asegurar una única fuente de verdad en los datos corporativos.</t>
  </si>
  <si>
    <t>RAM</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</si>
  <si>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</si>
  <si>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</si>
  <si>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</si>
  <si>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</si>
  <si>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</si>
  <si>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</si>
  <si>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</si>
  <si>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</si>
  <si>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SSD</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</si>
  <si>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</si>
  <si>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</si>
  <si>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</si>
  <si>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</si>
  <si>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</si>
  <si>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</si>
  <si>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</si>
  <si>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</si>
  <si>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eBay</t>
  </si>
  <si>
    <t>https://www.ebay.com/itm/186815652287?chn=ps&amp;mkevt=1&amp;mkcid=28&amp;google_free_listing_action=view_item</t>
  </si>
  <si>
    <t>SSD Kingston NV3 2 2280 NVMe</t>
  </si>
  <si>
    <t>3 años</t>
  </si>
  <si>
    <t>Está diseñado para ofrecer un rendimiento  superiores para necesidades informática, ofrece velocidades de hasta 6000 MB/s. Con capacidad de almacenamiento de 1TB.</t>
  </si>
  <si>
    <t>https://www.mercadolibre.com.co/unidad-de-estado-solido-ssd-m2-500gb-kingston-nv2-pcie-40-nvme-snv2s500g/p/MCO19807863</t>
  </si>
  <si>
    <t>SSD Kingston NV2 500GB NVMe</t>
  </si>
  <si>
    <t>Cuenta con un almacenamiento de última generación impulsada por un controlador NVMe para grandes velocidades con menos requisitos de energía y menor temperatura para ayudar a optimizar el rendimiento de tu sistema.</t>
  </si>
  <si>
    <t>Tauret</t>
  </si>
  <si>
    <t>https://tauretcomputadores.com/product/unidad-solida-m-2-kingston-nv3-1tb-6000-4000-mb-s?srsltid=AfmBOooKSuqOd7u7kDn6eP2LCB8eqFAiI1_i9eXS-EBYD--6VKm_bX5Gy4s</t>
  </si>
  <si>
    <t>Unidad Sólida M.2 Kingston NV3 1TB 6000/4000 MB/s</t>
  </si>
  <si>
    <t>60 meses</t>
  </si>
  <si>
    <t>Ofrece velocidades de lectura/escritura de hasta 6000/5000 MB/s, un menor consumo de energía y una reducción del calor, lo que optimiza el rendimiento del sistema sin comprometer el valor.</t>
  </si>
  <si>
    <t>Pantalla</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</si>
  <si>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</si>
  <si>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</si>
  <si>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</si>
  <si>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</si>
  <si>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</si>
  <si>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</si>
  <si>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</si>
  <si>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</si>
  <si>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Fallabella</t>
  </si>
  <si>
    <t>https://www.falabella.com.co/falabella-co/product/145587591/Monitor-Dell-P2425H-238%E2%80%9D-FHD/145587592</t>
  </si>
  <si>
    <t>Monitor Dell P2425H 238” FHD</t>
  </si>
  <si>
    <t>241,35</t>
  </si>
  <si>
    <t>Su diseño inteligente te permite ajustar la inclinación, altura y giro para encontrar la postura perfecta, minimizando la fatiga durante largas jornadas. Conecta los dispositivos fácilmente a través de sus múltiples puertos, incluyendo HDMI, DisplayPort, VGA, USB 3.2 y USB-C.</t>
  </si>
  <si>
    <t>techINN</t>
  </si>
  <si>
    <t>https://www.tradeinn.com/techinn/es/dell-monitor-p2425h-24-full-hd-ips-led/141591717/p?utm_source=google_products&amp;utm_medium=merchant&amp;id_producte=145914088&amp;country=co&amp;srsltid=AfmBOoq59ihBPTQ3wr_9A_p4oI9BkXEdaIowdzpXNJrru8jmtXzCMWovH7Q</t>
  </si>
  <si>
    <t>Dell Monitor P2425H 24´´ Full HD IPS LED</t>
  </si>
  <si>
    <t>154,75</t>
  </si>
  <si>
    <t xml:space="preserve">Su pantalla de 60,5 cm FHD (Full HD) y su tasa de refresco (100 Hz) garantizan contenido fluido en alta definición, además, su función de organización inteligente maximiza la productividad y el flujo de trabajo.
</t>
  </si>
  <si>
    <t>Ubuy</t>
  </si>
  <si>
    <t>https://www.ubuy.com.co/sp/product/JTHJBDDGC-dell-24-monitor-p2425h?srsltid=AfmBOopqkau0MyL3b1xUS6vadRNiAiL_Uxcai4VxeVCon1Pqb2_eyUoM_hA</t>
  </si>
  <si>
    <t>Dell P2425H 24" Full HD LED Monitor P2425H</t>
  </si>
  <si>
    <t>250,50</t>
  </si>
  <si>
    <t>Cuenta con una pantalla Full HD de 24 pulgadas con una resolución de 1920 x 1080, que ofrece imágenes nítidas y vibrantes.</t>
  </si>
  <si>
    <t>SO</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</si>
  <si>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</si>
  <si>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</si>
  <si>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</si>
  <si>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</si>
  <si>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</si>
  <si>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</si>
  <si>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</si>
  <si>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</si>
  <si>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Linux Ubuntu</t>
  </si>
  <si>
    <t>https://ubuntu.com/download/desktop</t>
  </si>
  <si>
    <t>Ubuntu 24.04 LTS</t>
  </si>
  <si>
    <t>Puedes personalizar hasta el último rincón del sistema. No hay procesos ocultos consumiendo la RAM sin permiso.</t>
  </si>
  <si>
    <t>Windows 11</t>
  </si>
  <si>
    <t>https://tulicencias.com/product/windows-11-pro/?currency=COP&amp;utm_id=22950947926&amp;utm_source=google&amp;utm_medium=cpc&amp;utm_device=c&amp;lmx_id=CjwKCAjw-dfOBhAjEiwAq0RwI0WgJOl0Rlvw71dLiyZ-xRqfWjb9HuUaeuQeopdPt2REk4CMary0ixoCetcQAvD_BwE&amp;gad_source=4&amp;gad_campaignid=22950947926&amp;gbraid=0AAAAA9_hf_CTKFfHusDLVYsOW3lLFbsAE&amp;gclid=CjwKCAjw-dfOBhAjEiwAq0RwI0WgJOl0Rlvw71dLiyZ-xRqfWjb9HuUaeuQeopdPt2REk4CMary0ixoCetcQAvD_BwE</t>
  </si>
  <si>
    <t>Windows 11 Pro OEM</t>
  </si>
  <si>
    <t>Permite correr un Linux completo dentro de Windows, se consigue lo mejor de los dos mundos: las herramientas de Linux y las apps de Windows (Office, Adobe, juegos).</t>
  </si>
  <si>
    <t>MacOS</t>
  </si>
  <si>
    <t>https://dortania.github.io/OpenCore-Install-Guide/</t>
  </si>
  <si>
    <t>OpenCore Install Guide</t>
  </si>
  <si>
    <t>Es el único sistema donde puedes programar, compilar y publicar aplicaciones de forma legal para iPhone, iPad y Mac (usando Xcode).</t>
  </si>
  <si>
    <t>Nomina</t>
  </si>
  <si>
    <t xml:space="preserve">Salarios </t>
  </si>
  <si>
    <t>Salario Minimo</t>
  </si>
  <si>
    <t>Técnico (etapa práctica)</t>
  </si>
  <si>
    <t>$1.558.905</t>
  </si>
  <si>
    <t>Auxilio de Transporte</t>
  </si>
  <si>
    <t>Tecnólogo(etapa práctica)</t>
  </si>
  <si>
    <t>$1.750.000</t>
  </si>
  <si>
    <t>Salario Minimo Integral</t>
  </si>
  <si>
    <t>Profesional</t>
  </si>
  <si>
    <t>Total</t>
  </si>
  <si>
    <t>Valor hora ordinaria (sin pres.)</t>
  </si>
  <si>
    <t>Aportes Fiscales</t>
  </si>
  <si>
    <t>Valor hora ordinaria</t>
  </si>
  <si>
    <t>SENA</t>
  </si>
  <si>
    <t>Recargos Legales</t>
  </si>
  <si>
    <t>ICBF</t>
  </si>
  <si>
    <t>Hora extra diurna(sin pres.)</t>
  </si>
  <si>
    <t>Cajas</t>
  </si>
  <si>
    <t>Hora nocturna(sin pres.)</t>
  </si>
  <si>
    <t>Hora extra nocturna(sin pres.)</t>
  </si>
  <si>
    <t>Cargas Prestacionales</t>
  </si>
  <si>
    <t>Dominical / festivo(sin pres)</t>
  </si>
  <si>
    <t>Cesantias</t>
  </si>
  <si>
    <t>Hora extra diurna</t>
  </si>
  <si>
    <t>Intereses a las Cesantias</t>
  </si>
  <si>
    <t>Hora nocturna</t>
  </si>
  <si>
    <t>Prima de Servicios</t>
  </si>
  <si>
    <t>Hora extra nocturna</t>
  </si>
  <si>
    <t>Vacaciones</t>
  </si>
  <si>
    <t>Dominical / festivo</t>
  </si>
  <si>
    <t>Alquiler</t>
  </si>
  <si>
    <t>Seguridad Social</t>
  </si>
  <si>
    <t>Alquiler portátil (mes)</t>
  </si>
  <si>
    <t>Salud</t>
  </si>
  <si>
    <t>Empresa</t>
  </si>
  <si>
    <t>Gastos Administrativos</t>
  </si>
  <si>
    <t>Empleado</t>
  </si>
  <si>
    <t>Concepto</t>
  </si>
  <si>
    <t>Valor</t>
  </si>
  <si>
    <t>Mes 1</t>
  </si>
  <si>
    <t>Total Año</t>
  </si>
  <si>
    <t>Pension</t>
  </si>
  <si>
    <t>Suscripción PaaS (Azure)</t>
  </si>
  <si>
    <t>Internet</t>
  </si>
  <si>
    <t>Total Empresa</t>
  </si>
  <si>
    <t>Total Empleado</t>
  </si>
  <si>
    <t>Totales</t>
  </si>
  <si>
    <t>Activos Fijos</t>
  </si>
  <si>
    <t>Plan de Inversion</t>
  </si>
  <si>
    <t>Descripcion</t>
  </si>
  <si>
    <t>Unidad Medida</t>
  </si>
  <si>
    <t>Cantidad</t>
  </si>
  <si>
    <t>Valor Unitario</t>
  </si>
  <si>
    <t>Muebles y Enseres</t>
  </si>
  <si>
    <t>Maquinaria y Equipo</t>
  </si>
  <si>
    <t>Escritorio para Oficina</t>
  </si>
  <si>
    <t>Unidad</t>
  </si>
  <si>
    <t>Silla Ergonómica de Oficina</t>
  </si>
  <si>
    <t>Canecas de Basura</t>
  </si>
  <si>
    <t>Requerimiento de Personal</t>
  </si>
  <si>
    <t>Subsidio de Transporte</t>
  </si>
  <si>
    <t>Total a Pagar</t>
  </si>
  <si>
    <t>Cargo</t>
  </si>
  <si>
    <t>Sueldo Mensual</t>
  </si>
  <si>
    <t>Dias Laborados</t>
  </si>
  <si>
    <t>Aprendiz</t>
  </si>
  <si>
    <t>Cotización</t>
  </si>
  <si>
    <t>Admistrador:</t>
  </si>
  <si>
    <t>Número de cotización:</t>
  </si>
  <si>
    <t xml:space="preserve">V.3 </t>
  </si>
  <si>
    <t>Número de teléfono del cliente:</t>
  </si>
  <si>
    <t>Persona de contacto:</t>
  </si>
  <si>
    <t>Fecha de cotización:</t>
  </si>
  <si>
    <t>Dirección del cliente:</t>
  </si>
  <si>
    <t>1. Equipos de computo para el administrador</t>
  </si>
  <si>
    <t>2. Equipos de computo para el equipo de desarrollo del sistema (CheerClick Systems)</t>
  </si>
  <si>
    <t>Tipo</t>
  </si>
  <si>
    <t>Nombre del árticulo</t>
  </si>
  <si>
    <t>Proveedor</t>
  </si>
  <si>
    <t>Precio unitario</t>
  </si>
  <si>
    <t>IVA</t>
  </si>
  <si>
    <t>Precio final</t>
  </si>
  <si>
    <t>Argumentación</t>
  </si>
  <si>
    <t>Portatil Administrador</t>
  </si>
  <si>
    <t>Se asegurar la productividad del administrador. Un equipo con estas especificaciones aumenta el redimiento de las operaciones a realizar.</t>
  </si>
  <si>
    <t>Portatil Equipo</t>
  </si>
  <si>
    <t>Se trata solo de asegurar la productividad del colaborador. Un equipo con especificaciones actuales reduce los tiempos de espera y el agotamiento del soporte técnico.</t>
  </si>
  <si>
    <t>Licencias</t>
  </si>
  <si>
    <t>Se garantizan el acceso a actualizaciones críticas de seguridad. Utilizar software no licenciado expone a la empresa a vulnerabilidades que pueden resultar en ataques de ransomware o robo de datos, cuyo costo de recuperación es infinitamente superior al valor de la licencia.</t>
  </si>
  <si>
    <t>Este servicio incluye por defecto sistemas de redundancia y copias de seguridad automáticas. Esto garantiza que, ante un fallo, la base de datos se recupere en minutos sin pérdida de información crítica, de igual forma, permite aumentar la capacidad de almacenamiento o velocidad de procesamiento en tiempo real.</t>
  </si>
  <si>
    <t>Servicios Paas</t>
  </si>
  <si>
    <t>Plan Basic (B1)</t>
  </si>
  <si>
    <t>Proporciona un entorno listo para ejecutar aplicaciones sin la necesidad de de comprar y mantener servidores físicos, sistemas de refrigeración y energía ininterrumpida. Esto permite el enfoque exclusivamente en escribir código.</t>
  </si>
  <si>
    <t>TOTAL</t>
  </si>
  <si>
    <t>Dilan Rodriguez, Antony Cardenas, Brayan Corpa, Felipe Lasprilla</t>
  </si>
  <si>
    <t>Computador Portátil LENOVO Ideapad Slim 3 - 15.3" Pulgadas 15HP10 - AMD Ryzen 5 - RAM 24GB - Disco SSD 512GB - Azul</t>
  </si>
  <si>
    <t>https://www.ktronix.com/computador-portatil-lenovo-ideapad-slim-3-153-pulgadas/p/198155958762</t>
  </si>
  <si>
    <t>Portátil Lenovo V14 G4 Ryzen 5 7520U 16Gb Ram 512Gb Ssd 14 Pulgadas Fhd</t>
  </si>
  <si>
    <t>Portátil ASUS VivoBook 15 Ryzen 7 5825U 16GB RAM 512GB SSD 15.6” FHD</t>
  </si>
  <si>
    <t>Lenovo V15 G4 15.6 Core I5 13a Generación 16gb Ssd 1tb</t>
  </si>
  <si>
    <t>https://www.mercadolibre.com.co/lenovo-v15-g4-156---core-i5-13a-generacion-16gb-ssd-1tb/up/MCOU3037567568?pdp_filters=item_id:MCO1547114667#polycard_client=recommendations_pdp-pads-up&amp;reco_backend=recomm_platform_base_pads_ron_MERGE&amp;reco_model=search_recos_backend_merge&amp;reco_client=pdp-pads-up&amp;reco_item_pos=4&amp;reco_backend_type=low_level&amp;reco_id=bd0b65ed-b2b2-4eaf-80dd-e0760deb96c8&amp;wid=MCO1547114667&amp;sid=recos&amp;is_advertising=true&amp;ad_domain=PDPDESKTOP_UP&amp;ad_position=5&amp;ad_click_id=ZDkxYzJkMDEtNTllYS00MjllLTlkNzctNTEwYWExNWJkNmVm</t>
  </si>
  <si>
    <t>Portátil ASUS Vivobook 15 (M1502YA-NJ180W)</t>
  </si>
  <si>
    <t>Suscripción AWS</t>
  </si>
  <si>
    <t>Máquina de coser industrial</t>
  </si>
  <si>
    <t xml:space="preserve">Unidad </t>
  </si>
  <si>
    <t>Mesa de corte</t>
  </si>
  <si>
    <t>Estanterías</t>
  </si>
  <si>
    <t>Equipo de Computo</t>
  </si>
  <si>
    <t>Impresora</t>
  </si>
  <si>
    <t xml:space="preserve">Corel Draw </t>
  </si>
  <si>
    <t>Nombres: Brayan Corpa, Dilan Rodriguez, Antony Cardenas, Samuel Peña, Felipe Lasprilla</t>
  </si>
  <si>
    <t>Tel: 3150410649</t>
  </si>
  <si>
    <t>Correo: Juanfelasprilla60@gmail.com</t>
  </si>
  <si>
    <t>Harold linares</t>
  </si>
  <si>
    <t>Camila Sanchez</t>
  </si>
  <si>
    <t>Servicios AWS</t>
  </si>
  <si>
    <t>Amazon Web Services</t>
  </si>
  <si>
    <t>cra 68 # 35 a sur 26</t>
  </si>
  <si>
    <t>Nombre del proyecto: Dotaciones Fortuna IJ</t>
  </si>
  <si>
    <t>DURACION PROYECTO</t>
  </si>
  <si>
    <t>GASTOS EN PERSONAL</t>
  </si>
  <si>
    <t>VALOR</t>
  </si>
  <si>
    <t>CANTIDAD</t>
  </si>
  <si>
    <t>SALUD</t>
  </si>
  <si>
    <t>PENSION</t>
  </si>
  <si>
    <t>ST</t>
  </si>
  <si>
    <t>8 MESES MAXIMO</t>
  </si>
  <si>
    <t>Costo Inicial del Proyecto</t>
  </si>
  <si>
    <t>Plan de Inversión</t>
  </si>
  <si>
    <t>Gastos de Personal</t>
  </si>
  <si>
    <t>Parafiscales</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</si>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</sst>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 #,##0.00_-;\-&quot;$&quot;\ * #,##0.00_-;_-&quot;$&quot;\ * &quot;-&quot;??_-;_-@_-"/>
    <numFmt numFmtId="164" formatCode="dd/mm/yyyy"/>
    <numFmt numFmtId="165" formatCode="_-[$$-240A]\ * #,##0.00_-;\-[$$-240A]\ * #,##0.00_-;_-[$$-240A]\ * &quot;-&quot;??_-;_-@"/>
    <numFmt numFmtId="166" formatCode="&quot;$&quot;#,##0.00"/>
    <numFmt numFmtId="167" formatCode="_([$$-409]* #,##0.00_);_([$$-409]* \(#,##0.00\);_([$$-409]* &quot;-&quot;??_);_(@_)"/>
    <numFmt numFmtId="168" formatCode="_-[$$-409]* #,##0.00_ ;_-[$$-409]* \-#,##0.00\ ;_-[$$-409]* &quot;-&quot;??_ ;_-@_ "/>
    <numFmt numFmtId="169" formatCode="&quot;$&quot;#,##0.00_);[Red]\(&quot;$&quot;#,##0.00\)"/>
    <numFmt numFmtId="170" formatCode="&quot;$&quot;#,##0_);[Red]\(&quot;$&quot;#,##0\)"/>
    <numFmt numFmtId="171" formatCode="_-[$$-240A]\ * #,##0.000_-;\-[$$-240A]\ * #,##0.000_-;_-[$$-240A]\ * &quot;-&quot;??.00_-;_-@"/>
    <numFmt numFmtId="172" formatCode="_-[$$-240A]\ * #,##0.00_-;\-[$$-240A]\ * #,##0.00_-;_-[$$-240A]\ * &quot;-&quot;??.0_-;_-@"/>
    <numFmt numFmtId="173" formatCode="_-&quot;$&quot;\ * #,##0.00_-;\-&quot;$&quot;\ * #,##0.00_-;_-&quot;$&quot;\ * &quot;-&quot;??_-;_-@"/>
    <numFmt numFmtId="174" formatCode="&quot;$&quot;#,##0.000"/>
  </numFmts>
  <fonts count="86">
    <font>
      <sz val="10"/>
      <color rgb="FF000000"/>
      <name val="Arial"/>
      <scheme val="minor"/>
    </font>
    <font>
      <sz val="10"/>
      <color rgb="FF000000"/>
      <name val="Arial"/>
    </font>
    <font>
      <b/>
      <sz val="25"/>
      <color rgb="FF000000"/>
      <name val="Times New Roman"/>
    </font>
    <font>
      <sz val="10"/>
      <name val="Arial"/>
    </font>
    <font>
      <sz val="23"/>
      <color rgb="FF000000"/>
      <name val="Times New Roman"/>
    </font>
    <font>
      <sz val="25"/>
      <color rgb="FF000000"/>
      <name val="Times New Roman"/>
    </font>
    <font>
      <sz val="24"/>
      <color rgb="FF000000"/>
      <name val="Times New Roman"/>
    </font>
    <font>
      <sz val="10"/>
      <color theme="1"/>
      <name val="Arial"/>
    </font>
    <font>
      <b/>
      <sz val="12"/>
      <color theme="1"/>
      <name val="Arial"/>
    </font>
    <font>
      <b/>
      <sz val="10"/>
      <color theme="1"/>
      <name val="Arial"/>
    </font>
    <font>
      <b/>
      <sz val="10"/>
      <color theme="1"/>
      <name val="Trebuchet MS"/>
    </font>
    <font>
      <b/>
      <u/>
      <sz val="10"/>
      <color theme="1"/>
      <name val="Trebuchet MS"/>
    </font>
    <font>
      <i/>
      <sz val="10"/>
      <color theme="1"/>
      <name val="Arial"/>
    </font>
    <font>
      <sz val="10"/>
      <color rgb="FF000000"/>
      <name val="Trebuchet MS"/>
    </font>
    <font>
      <u/>
      <sz val="10"/>
      <color rgb="FF0000FF"/>
      <name val="Arial"/>
    </font>
    <font>
      <sz val="10"/>
      <color theme="1"/>
      <name val="Trebuchet MS"/>
    </font>
    <font>
      <sz val="10"/>
      <color theme="1"/>
      <name val="Proxima Nova"/>
    </font>
    <font>
      <sz val="10"/>
      <color rgb="FF231F20"/>
      <name val="Trebuchet MS"/>
    </font>
    <font>
      <u/>
      <sz val="10"/>
      <color theme="10"/>
      <name val="Arial"/>
    </font>
    <font>
      <sz val="10"/>
      <color theme="1"/>
      <name val="Open Sans"/>
    </font>
    <font>
      <sz val="10"/>
      <color theme="1"/>
      <name val="Montserrat"/>
    </font>
    <font>
      <sz val="10"/>
      <color theme="1"/>
      <name val="Arial Narrow"/>
    </font>
    <font>
      <b/>
      <u/>
      <sz val="10"/>
      <color theme="1"/>
      <name val="Trebuchet MS"/>
    </font>
    <font>
      <sz val="10"/>
      <color rgb="FF231F20"/>
      <name val="Arial"/>
    </font>
    <font>
      <b/>
      <u/>
      <sz val="10"/>
      <color theme="1"/>
      <name val="Trebuchet MS"/>
    </font>
    <font>
      <sz val="10"/>
      <color rgb="FF000000"/>
      <name val="Almarai"/>
    </font>
    <font>
      <sz val="11"/>
      <color rgb="FF000000"/>
      <name val="Proxima Nova"/>
    </font>
    <font>
      <sz val="10"/>
      <color rgb="FF0F1111"/>
      <name val="Arial"/>
    </font>
    <font>
      <u/>
      <sz val="10"/>
      <color theme="10"/>
      <name val="Arial"/>
    </font>
    <font>
      <sz val="10"/>
      <color rgb="FF333333"/>
      <name val="Lato"/>
    </font>
    <font>
      <sz val="10"/>
      <color theme="1"/>
      <name val="Arial"/>
    </font>
    <font>
      <b/>
      <u/>
      <sz val="10"/>
      <color theme="1"/>
      <name val="Arial"/>
    </font>
    <font>
      <u/>
      <sz val="10"/>
      <color rgb="FF0000FF"/>
      <name val="Arial"/>
    </font>
    <font>
      <u/>
      <sz val="10"/>
      <color rgb="FF0000FF"/>
      <name val="Arial"/>
    </font>
    <font>
      <sz val="10"/>
      <color rgb="FF444444"/>
      <name val="Arial"/>
    </font>
    <font>
      <u/>
      <sz val="10"/>
      <color rgb="FF0000FF"/>
      <name val="Arial"/>
    </font>
    <font>
      <b/>
      <sz val="10"/>
      <color theme="1"/>
      <name val="Arial"/>
      <scheme val="minor"/>
    </font>
    <font>
      <u/>
      <sz val="10"/>
      <color rgb="FF0000FF"/>
      <name val="Arial"/>
    </font>
    <font>
      <u/>
      <sz val="10"/>
      <color rgb="FF0000FF"/>
      <name val="Arial"/>
    </font>
    <font>
      <u/>
      <sz val="10"/>
      <color rgb="FF0000FF"/>
      <name val="Arial"/>
    </font>
    <font>
      <b/>
      <sz val="10"/>
      <color theme="1"/>
      <name val="Arial"/>
    </font>
    <font>
      <b/>
      <sz val="10"/>
      <color theme="1"/>
      <name val="Trebuchet MS"/>
    </font>
    <font>
      <b/>
      <u/>
      <sz val="10"/>
      <color theme="1"/>
      <name val="Trebuchet MS"/>
    </font>
    <font>
      <u/>
      <sz val="10"/>
      <color rgb="FF0000FF"/>
      <name val="Arial"/>
    </font>
    <font>
      <sz val="10"/>
      <color theme="1"/>
      <name val="Arial"/>
      <scheme val="minor"/>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b/>
      <sz val="11"/>
      <color theme="1"/>
      <name val="Calibri"/>
    </font>
    <font>
      <sz val="11"/>
      <color theme="1"/>
      <name val="Calibri"/>
    </font>
    <font>
      <sz val="10"/>
      <color rgb="FF1F1F1F"/>
      <name val="&quot;Google Sans Text&quot;"/>
    </font>
    <font>
      <b/>
      <sz val="10"/>
      <color rgb="FF1F1F1F"/>
      <name val="&quot;Google Sans Text&quot;"/>
    </font>
    <font>
      <sz val="11"/>
      <color rgb="FF404040"/>
      <name val="Trebuchet MS"/>
    </font>
    <font>
      <sz val="16"/>
      <color theme="1"/>
      <name val="Times New Roman"/>
    </font>
    <font>
      <sz val="20"/>
      <color rgb="FF000000"/>
      <name val="Trebuchet MS"/>
    </font>
    <font>
      <sz val="10"/>
      <color theme="1"/>
      <name val="Trebuchet MS"/>
    </font>
    <font>
      <sz val="11"/>
      <color rgb="FF000000"/>
      <name val="Trebuchet MS"/>
    </font>
    <font>
      <b/>
      <sz val="13"/>
      <color theme="1"/>
      <name val="Times New Roman"/>
    </font>
    <font>
      <sz val="13"/>
      <color theme="1"/>
      <name val="Times New Roman"/>
    </font>
    <font>
      <u/>
      <sz val="13"/>
      <color rgb="FF0000FF"/>
      <name val="Times New Roman"/>
    </font>
    <font>
      <sz val="11"/>
      <color theme="1"/>
      <name val="Trebuchet MS"/>
    </font>
    <font>
      <b/>
      <sz val="11"/>
      <color rgb="FF000000"/>
      <name val="Trebuchet MS"/>
    </font>
    <font>
      <i/>
      <sz val="8"/>
      <color theme="1"/>
      <name val="Trebuchet MS"/>
    </font>
    <font>
      <i/>
      <sz val="10"/>
      <color theme="1"/>
      <name val="Trebuchet MS"/>
    </font>
    <font>
      <i/>
      <u/>
      <sz val="8"/>
      <color theme="1"/>
      <name val="Trebuchet MS"/>
    </font>
    <font>
      <i/>
      <sz val="8"/>
      <color theme="1"/>
      <name val="Arial"/>
    </font>
    <font>
      <b/>
      <i/>
      <sz val="8"/>
      <color theme="1"/>
      <name val="Arial"/>
    </font>
    <font>
      <i/>
      <u/>
      <sz val="10"/>
      <color theme="1"/>
      <name val="Arial"/>
    </font>
    <font>
      <u/>
      <sz val="10"/>
      <color theme="10"/>
      <name val="Arial"/>
      <scheme val="minor"/>
    </font>
    <font>
      <sz val="10"/>
      <color rgb="FF000000"/>
      <name val="Arial"/>
      <family val="2"/>
      <scheme val="minor"/>
    </font>
    <font>
      <sz val="10"/>
      <color rgb="FF000000"/>
      <name val="Arial"/>
      <family val="2"/>
    </font>
    <font>
      <sz val="10"/>
      <color rgb="FF000000"/>
      <name val="Trebuchet MS"/>
      <family val="2"/>
    </font>
    <font>
      <sz val="11"/>
      <color theme="1"/>
      <name val="Calibri"/>
      <family val="2"/>
    </font>
    <font>
      <b/>
      <sz val="11"/>
      <color theme="1"/>
      <name val="Calibri"/>
      <family val="2"/>
    </font>
    <font>
      <b/>
      <sz val="11"/>
      <color rgb="FF404040"/>
      <name val="Trebuchet MS"/>
      <family val="2"/>
    </font>
    <font>
      <sz val="11"/>
      <color rgb="FF000000"/>
      <name val="Trebuchet MS"/>
      <family val="2"/>
    </font>
    <font>
      <sz val="11"/>
      <color rgb="FF404040"/>
      <name val="Trebuchet MS"/>
      <family val="2"/>
    </font>
    <font>
      <b/>
      <sz val="11"/>
      <name val="Arial"/>
      <family val="2"/>
      <scheme val="major"/>
    </font>
    <font>
      <sz val="11"/>
      <name val="Arial"/>
      <family val="2"/>
      <scheme val="major"/>
    </font>
    <font>
      <sz val="10"/>
      <name val="Arial"/>
      <family val="2"/>
      <scheme val="major"/>
    </font>
    <font>
      <b/>
      <sz val="10"/>
      <name val="Arial"/>
      <family val="2"/>
      <scheme val="minor"/>
    </font>
    <font>
      <b/>
      <sz val="10"/>
      <color rgb="FF000000"/>
      <name val="Arial"/>
      <family val="2"/>
    </font>
    <font>
      <sz val="11"/>
      <name val="Calibri"/>
    </font>
  </fonts>
  <fills count="20">
    <fill>
      <patternFill patternType="none"/>
    </fill>
    <fill>
      <patternFill patternType="gray125"/>
    </fill>
    <fill>
      <patternFill patternType="solid">
        <fgColor rgb="FF6AA84F"/>
        <bgColor rgb="FF6AA84F"/>
      </patternFill>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8F8F8"/>
        <bgColor rgb="FFF8F8F8"/>
      </patternFill>
    </fill>
    <fill>
      <patternFill patternType="solid">
        <fgColor rgb="FFC9DAF8"/>
        <bgColor rgb="FFC9DAF8"/>
      </patternFill>
    </fill>
    <fill>
      <patternFill patternType="solid">
        <fgColor rgb="FFC5E0B3"/>
        <bgColor rgb="FFC5E0B3"/>
      </patternFill>
    </fill>
    <fill>
      <patternFill patternType="solid">
        <fgColor rgb="FFDADADA"/>
        <bgColor rgb="FFDADADA"/>
      </patternFill>
    </fill>
    <fill>
      <patternFill patternType="solid">
        <fgColor rgb="FFE2EFD9"/>
        <bgColor rgb="FFE2EFD9"/>
      </patternFill>
    </fill>
    <fill>
      <patternFill patternType="solid">
        <fgColor rgb="FFF2F2F2"/>
        <bgColor rgb="FFF2F2F2"/>
      </patternFill>
    </fill>
    <fill>
      <patternFill patternType="solid">
        <fgColor theme="8" tint="-0.249977111117893"/>
        <bgColor rgb="FFC9DAF8"/>
      </patternFill>
    </fill>
    <fill>
      <patternFill patternType="solid">
        <fgColor theme="8" tint="-0.249977111117893"/>
        <bgColor indexed="64"/>
      </patternFill>
    </fill>
    <fill>
      <patternFill patternType="solid">
        <fgColor theme="8" tint="-0.249977111117893"/>
        <bgColor rgb="FFA4C2F4"/>
      </patternFill>
    </fill>
    <fill>
      <patternFill patternType="solid">
        <fgColor theme="8" tint="-0.249977111117893"/>
        <bgColor rgb="FF6D9EEB"/>
      </patternFill>
    </fill>
    <fill>
      <patternFill patternType="solid">
        <fgColor theme="6" tint="-0.249977111117893"/>
        <bgColor indexed="64"/>
      </patternFill>
    </fill>
    <fill>
      <patternFill patternType="solid">
        <fgColor theme="6" tint="0.59999389629810485"/>
        <bgColor indexed="64"/>
      </patternFill>
    </fill>
  </fills>
  <borders count="68">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808080"/>
      </left>
      <right style="thin">
        <color rgb="FF808080"/>
      </right>
      <top/>
      <bottom style="thin">
        <color rgb="FF80808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71" fillId="0" borderId="0" applyNumberFormat="0" applyFill="0" applyBorder="0" applyAlignment="0" applyProtection="0"/>
  </cellStyleXfs>
  <cellXfs count="330">
    <xf numFmtId="0" fontId="0" fillId="0" borderId="0" xfId="0"/>
    <xf numFmtId="0" fontId="1" fillId="0" borderId="0" xfId="0" applyFont="1"/>
    <xf numFmtId="0" fontId="1" fillId="2" borderId="1" xfId="0" applyFont="1" applyFill="1" applyBorder="1"/>
    <xf numFmtId="0" fontId="4" fillId="2" borderId="1" xfId="0" applyFont="1" applyFill="1" applyBorder="1"/>
    <xf numFmtId="0" fontId="5" fillId="2" borderId="1" xfId="0" applyFont="1" applyFill="1" applyBorder="1"/>
    <xf numFmtId="0" fontId="6" fillId="2" borderId="1" xfId="0" applyFont="1" applyFill="1" applyBorder="1"/>
    <xf numFmtId="0" fontId="5" fillId="2" borderId="1" xfId="0" applyFont="1" applyFill="1" applyBorder="1" applyAlignment="1">
      <alignment horizontal="center"/>
    </xf>
    <xf numFmtId="164" fontId="5" fillId="2" borderId="1" xfId="0" applyNumberFormat="1" applyFont="1" applyFill="1" applyBorder="1"/>
    <xf numFmtId="0" fontId="7" fillId="0" borderId="0" xfId="0" applyFont="1"/>
    <xf numFmtId="0" fontId="9" fillId="4" borderId="8" xfId="0" applyFont="1" applyFill="1" applyBorder="1" applyAlignment="1">
      <alignment horizontal="center" vertical="center" wrapText="1"/>
    </xf>
    <xf numFmtId="0" fontId="10" fillId="0" borderId="8" xfId="0" applyFont="1" applyBorder="1" applyAlignment="1">
      <alignment horizontal="center" vertical="center" wrapText="1"/>
    </xf>
    <xf numFmtId="0" fontId="11" fillId="5" borderId="8" xfId="0" applyFont="1" applyFill="1" applyBorder="1" applyAlignment="1">
      <alignment horizontal="center" vertical="center" wrapText="1"/>
    </xf>
    <xf numFmtId="0" fontId="9" fillId="6" borderId="9" xfId="0" applyFont="1" applyFill="1" applyBorder="1" applyAlignment="1">
      <alignment horizontal="center" vertical="center" wrapText="1"/>
    </xf>
    <xf numFmtId="0" fontId="12" fillId="0" borderId="0" xfId="0" applyFont="1" applyAlignment="1">
      <alignment horizontal="center" vertical="center"/>
    </xf>
    <xf numFmtId="0" fontId="9" fillId="0" borderId="8" xfId="0" applyFont="1" applyBorder="1" applyAlignment="1">
      <alignment horizontal="center" vertical="center"/>
    </xf>
    <xf numFmtId="0" fontId="13" fillId="0" borderId="8" xfId="0" applyFont="1" applyBorder="1" applyAlignment="1">
      <alignment horizontal="center" vertical="center" wrapText="1"/>
    </xf>
    <xf numFmtId="0" fontId="14" fillId="0" borderId="8" xfId="0" applyFont="1" applyBorder="1" applyAlignment="1">
      <alignment horizontal="center" vertical="center" wrapText="1"/>
    </xf>
    <xf numFmtId="0" fontId="1" fillId="7" borderId="8" xfId="0" applyFont="1" applyFill="1" applyBorder="1" applyAlignment="1">
      <alignment horizontal="center" vertical="center" wrapText="1"/>
    </xf>
    <xf numFmtId="165" fontId="13" fillId="0" borderId="8" xfId="0" applyNumberFormat="1" applyFont="1" applyBorder="1" applyAlignment="1">
      <alignment horizontal="center" vertical="center" wrapText="1"/>
    </xf>
    <xf numFmtId="166" fontId="13" fillId="0" borderId="8" xfId="0" applyNumberFormat="1" applyFont="1" applyBorder="1" applyAlignment="1">
      <alignment horizontal="center" vertical="center" wrapText="1"/>
    </xf>
    <xf numFmtId="167" fontId="13" fillId="0" borderId="8" xfId="0" applyNumberFormat="1" applyFont="1" applyBorder="1" applyAlignment="1">
      <alignment horizontal="center" vertical="center" wrapText="1"/>
    </xf>
    <xf numFmtId="168" fontId="13" fillId="0" borderId="8" xfId="0" applyNumberFormat="1" applyFont="1" applyBorder="1" applyAlignment="1">
      <alignment horizontal="center" vertical="center" wrapText="1"/>
    </xf>
    <xf numFmtId="0" fontId="15" fillId="0" borderId="8" xfId="0" applyFont="1" applyBorder="1" applyAlignment="1">
      <alignment horizontal="center" vertical="center" wrapText="1"/>
    </xf>
    <xf numFmtId="0" fontId="15" fillId="0" borderId="7" xfId="0" applyFont="1" applyBorder="1" applyAlignment="1">
      <alignment horizontal="center" vertical="center" wrapText="1"/>
    </xf>
    <xf numFmtId="0" fontId="16" fillId="7" borderId="10" xfId="0" applyFont="1" applyFill="1" applyBorder="1" applyAlignment="1">
      <alignment horizontal="center" vertical="center" wrapText="1"/>
    </xf>
    <xf numFmtId="0" fontId="17" fillId="0" borderId="8" xfId="0" applyFont="1" applyBorder="1" applyAlignment="1">
      <alignment horizontal="center" vertical="center" wrapText="1"/>
    </xf>
    <xf numFmtId="0" fontId="18" fillId="0" borderId="8" xfId="0" applyFont="1" applyBorder="1" applyAlignment="1">
      <alignment horizontal="center" vertical="center" wrapText="1"/>
    </xf>
    <xf numFmtId="0" fontId="19" fillId="7" borderId="10" xfId="0" applyFont="1" applyFill="1" applyBorder="1" applyAlignment="1">
      <alignment horizontal="center" vertical="center" wrapText="1"/>
    </xf>
    <xf numFmtId="0" fontId="20" fillId="7" borderId="10" xfId="0" applyFont="1" applyFill="1" applyBorder="1" applyAlignment="1">
      <alignment horizontal="center" vertical="center" wrapText="1"/>
    </xf>
    <xf numFmtId="0" fontId="7" fillId="0" borderId="8" xfId="0" applyFont="1" applyBorder="1"/>
    <xf numFmtId="0" fontId="15" fillId="0" borderId="8" xfId="0" applyFont="1" applyBorder="1" applyAlignment="1">
      <alignment horizontal="left" vertical="top" wrapText="1"/>
    </xf>
    <xf numFmtId="0" fontId="21" fillId="0" borderId="0" xfId="0" applyFont="1" applyAlignment="1">
      <alignment horizontal="center" vertical="center" wrapText="1"/>
    </xf>
    <xf numFmtId="0" fontId="10" fillId="0" borderId="11" xfId="0" applyFont="1" applyBorder="1" applyAlignment="1">
      <alignment horizontal="center" vertical="center" wrapText="1"/>
    </xf>
    <xf numFmtId="0" fontId="22" fillId="5" borderId="12" xfId="0" applyFont="1" applyFill="1" applyBorder="1" applyAlignment="1">
      <alignment horizontal="center" vertical="center" wrapText="1"/>
    </xf>
    <xf numFmtId="0" fontId="9" fillId="6" borderId="13" xfId="0" applyFont="1" applyFill="1" applyBorder="1" applyAlignment="1">
      <alignment horizontal="center" vertical="center" wrapText="1"/>
    </xf>
    <xf numFmtId="0" fontId="9" fillId="0" borderId="5" xfId="0" applyFont="1" applyBorder="1" applyAlignment="1">
      <alignment horizontal="center" vertical="center"/>
    </xf>
    <xf numFmtId="0" fontId="1" fillId="0" borderId="8" xfId="0" applyFont="1" applyBorder="1" applyAlignment="1">
      <alignment horizontal="center" vertical="center" wrapText="1"/>
    </xf>
    <xf numFmtId="0" fontId="23" fillId="0" borderId="8" xfId="0" applyFont="1" applyBorder="1" applyAlignment="1">
      <alignment horizontal="center" vertical="center" wrapText="1"/>
    </xf>
    <xf numFmtId="165" fontId="1" fillId="0" borderId="8" xfId="0" applyNumberFormat="1" applyFont="1" applyBorder="1" applyAlignment="1">
      <alignment horizontal="center" vertical="center" wrapText="1"/>
    </xf>
    <xf numFmtId="167" fontId="7" fillId="0" borderId="8" xfId="0" applyNumberFormat="1" applyFont="1" applyBorder="1" applyAlignment="1">
      <alignment horizontal="center" vertical="center" wrapText="1"/>
    </xf>
    <xf numFmtId="168" fontId="1" fillId="7" borderId="8" xfId="0" applyNumberFormat="1" applyFont="1" applyFill="1" applyBorder="1" applyAlignment="1">
      <alignment horizontal="center" vertical="center" wrapText="1"/>
    </xf>
    <xf numFmtId="165" fontId="1" fillId="7" borderId="8" xfId="0" applyNumberFormat="1" applyFont="1" applyFill="1" applyBorder="1" applyAlignment="1">
      <alignment horizontal="center" vertical="center" wrapText="1"/>
    </xf>
    <xf numFmtId="0" fontId="15" fillId="0" borderId="14" xfId="0" applyFont="1" applyBorder="1" applyAlignment="1">
      <alignment horizontal="left" vertical="top" wrapText="1"/>
    </xf>
    <xf numFmtId="0" fontId="1" fillId="0" borderId="14" xfId="0" applyFont="1" applyBorder="1" applyAlignment="1">
      <alignment horizontal="center" vertical="center" wrapText="1"/>
    </xf>
    <xf numFmtId="0" fontId="1" fillId="0" borderId="0" xfId="0" applyFont="1" applyAlignment="1">
      <alignment horizontal="center" vertical="center" wrapText="1"/>
    </xf>
    <xf numFmtId="0" fontId="24" fillId="5" borderId="11" xfId="0" applyFont="1" applyFill="1" applyBorder="1" applyAlignment="1">
      <alignment horizontal="center" vertical="center" wrapText="1"/>
    </xf>
    <xf numFmtId="0" fontId="9" fillId="6" borderId="15" xfId="0" applyFont="1" applyFill="1" applyBorder="1" applyAlignment="1">
      <alignment horizontal="center" vertical="center" wrapText="1"/>
    </xf>
    <xf numFmtId="167" fontId="1" fillId="0" borderId="8" xfId="0" applyNumberFormat="1" applyFont="1" applyBorder="1" applyAlignment="1">
      <alignment horizontal="center" vertical="center" wrapText="1"/>
    </xf>
    <xf numFmtId="0" fontId="25" fillId="7" borderId="8" xfId="0" applyFont="1" applyFill="1" applyBorder="1" applyAlignment="1">
      <alignment horizontal="center" vertical="center"/>
    </xf>
    <xf numFmtId="0" fontId="26" fillId="7" borderId="8" xfId="0" applyFont="1" applyFill="1" applyBorder="1" applyAlignment="1">
      <alignment horizontal="center" vertical="center"/>
    </xf>
    <xf numFmtId="168" fontId="1" fillId="7" borderId="9" xfId="0" applyNumberFormat="1" applyFont="1" applyFill="1" applyBorder="1" applyAlignment="1">
      <alignment horizontal="center" vertical="center" wrapText="1"/>
    </xf>
    <xf numFmtId="0" fontId="1" fillId="0" borderId="8" xfId="0" applyFont="1" applyBorder="1" applyAlignment="1">
      <alignment horizontal="center" vertical="center"/>
    </xf>
    <xf numFmtId="0" fontId="1" fillId="0" borderId="7" xfId="0" applyFont="1" applyBorder="1" applyAlignment="1">
      <alignment horizontal="center" vertical="center"/>
    </xf>
    <xf numFmtId="0" fontId="1" fillId="7" borderId="10" xfId="0" applyFont="1" applyFill="1" applyBorder="1" applyAlignment="1">
      <alignment horizontal="center" vertical="center" wrapText="1"/>
    </xf>
    <xf numFmtId="0" fontId="27" fillId="7" borderId="10" xfId="0" applyFont="1" applyFill="1" applyBorder="1" applyAlignment="1">
      <alignment horizontal="center" vertical="center" wrapText="1"/>
    </xf>
    <xf numFmtId="0" fontId="1" fillId="0" borderId="14" xfId="0" applyFont="1" applyBorder="1" applyAlignment="1">
      <alignment horizontal="center" vertical="center"/>
    </xf>
    <xf numFmtId="0" fontId="1" fillId="0" borderId="0" xfId="0" applyFont="1" applyAlignment="1">
      <alignment horizontal="center" vertical="center"/>
    </xf>
    <xf numFmtId="0" fontId="9" fillId="6" borderId="8" xfId="0" applyFont="1" applyFill="1" applyBorder="1" applyAlignment="1">
      <alignment horizontal="center" vertical="center" wrapText="1"/>
    </xf>
    <xf numFmtId="0" fontId="28" fillId="7" borderId="8" xfId="0" applyFont="1" applyFill="1" applyBorder="1" applyAlignment="1">
      <alignment horizontal="center" vertical="center" wrapText="1"/>
    </xf>
    <xf numFmtId="0" fontId="29" fillId="7" borderId="8" xfId="0" applyFont="1" applyFill="1" applyBorder="1" applyAlignment="1">
      <alignment horizontal="center" vertical="center"/>
    </xf>
    <xf numFmtId="166" fontId="1" fillId="7" borderId="8" xfId="0" applyNumberFormat="1" applyFont="1" applyFill="1" applyBorder="1" applyAlignment="1">
      <alignment horizontal="center" vertical="center"/>
    </xf>
    <xf numFmtId="167" fontId="7" fillId="7" borderId="8" xfId="0" applyNumberFormat="1" applyFont="1" applyFill="1" applyBorder="1" applyAlignment="1">
      <alignment horizontal="center" vertical="center" wrapText="1"/>
    </xf>
    <xf numFmtId="0" fontId="30" fillId="0" borderId="8" xfId="0" applyFont="1" applyBorder="1" applyAlignment="1">
      <alignment horizontal="center" vertical="center" wrapText="1"/>
    </xf>
    <xf numFmtId="0" fontId="23" fillId="7" borderId="8" xfId="0" applyFont="1" applyFill="1" applyBorder="1" applyAlignment="1">
      <alignment horizontal="center" vertical="center" wrapText="1"/>
    </xf>
    <xf numFmtId="0" fontId="9" fillId="0" borderId="8" xfId="0" applyFont="1" applyBorder="1" applyAlignment="1">
      <alignment horizontal="center" vertical="center" wrapText="1"/>
    </xf>
    <xf numFmtId="0" fontId="31" fillId="5" borderId="8" xfId="0" applyFont="1" applyFill="1" applyBorder="1" applyAlignment="1">
      <alignment horizontal="center" vertical="center" wrapText="1"/>
    </xf>
    <xf numFmtId="0" fontId="1" fillId="0" borderId="5" xfId="0" applyFont="1" applyBorder="1" applyAlignment="1">
      <alignment horizontal="center" vertical="center" wrapText="1"/>
    </xf>
    <xf numFmtId="0" fontId="32" fillId="0" borderId="11" xfId="0" applyFont="1" applyBorder="1" applyAlignment="1">
      <alignment vertical="center" wrapText="1"/>
    </xf>
    <xf numFmtId="169" fontId="1" fillId="0" borderId="8" xfId="0" applyNumberFormat="1" applyFont="1" applyBorder="1" applyAlignment="1">
      <alignment horizontal="center" vertical="center" wrapText="1"/>
    </xf>
    <xf numFmtId="0" fontId="1" fillId="7" borderId="8" xfId="0" applyFont="1" applyFill="1" applyBorder="1" applyAlignment="1">
      <alignment vertical="center" wrapText="1"/>
    </xf>
    <xf numFmtId="0" fontId="33" fillId="7" borderId="8" xfId="0" applyFont="1" applyFill="1" applyBorder="1" applyAlignment="1">
      <alignment horizontal="center" vertical="center" wrapText="1"/>
    </xf>
    <xf numFmtId="166" fontId="1" fillId="0" borderId="8" xfId="0" applyNumberFormat="1" applyFont="1" applyBorder="1" applyAlignment="1">
      <alignment horizontal="center" vertical="center" wrapText="1"/>
    </xf>
    <xf numFmtId="0" fontId="34" fillId="7" borderId="8" xfId="0" applyFont="1" applyFill="1" applyBorder="1" applyAlignment="1">
      <alignment vertical="center" wrapText="1"/>
    </xf>
    <xf numFmtId="170" fontId="1" fillId="0" borderId="8" xfId="0" applyNumberFormat="1" applyFont="1" applyBorder="1" applyAlignment="1">
      <alignment horizontal="center" vertical="center" wrapText="1"/>
    </xf>
    <xf numFmtId="0" fontId="7" fillId="7" borderId="8" xfId="0" applyFont="1" applyFill="1" applyBorder="1" applyAlignment="1">
      <alignment horizontal="center" vertical="center" wrapText="1"/>
    </xf>
    <xf numFmtId="165" fontId="7" fillId="7" borderId="8" xfId="0" applyNumberFormat="1" applyFont="1" applyFill="1" applyBorder="1" applyAlignment="1">
      <alignment horizontal="center" vertical="center" wrapText="1"/>
    </xf>
    <xf numFmtId="165" fontId="7" fillId="0" borderId="8" xfId="0" applyNumberFormat="1" applyFont="1" applyBorder="1" applyAlignment="1">
      <alignment horizontal="center" vertical="center" wrapText="1"/>
    </xf>
    <xf numFmtId="0" fontId="7" fillId="0" borderId="8" xfId="0" applyFont="1" applyBorder="1" applyAlignment="1">
      <alignment horizontal="center" vertical="center" wrapText="1"/>
    </xf>
    <xf numFmtId="0" fontId="35" fillId="8" borderId="8" xfId="0" applyFont="1" applyFill="1" applyBorder="1" applyAlignment="1">
      <alignment horizontal="center" vertical="center" wrapText="1"/>
    </xf>
    <xf numFmtId="166" fontId="7" fillId="0" borderId="8" xfId="0" applyNumberFormat="1" applyFont="1" applyBorder="1" applyAlignment="1">
      <alignment horizontal="center" vertical="center" wrapText="1"/>
    </xf>
    <xf numFmtId="168" fontId="7" fillId="0" borderId="8" xfId="0" applyNumberFormat="1" applyFont="1" applyBorder="1" applyAlignment="1">
      <alignment horizontal="center" vertical="center" wrapText="1"/>
    </xf>
    <xf numFmtId="171" fontId="7" fillId="0" borderId="8" xfId="0" applyNumberFormat="1" applyFont="1" applyBorder="1" applyAlignment="1">
      <alignment horizontal="center" vertical="center" wrapText="1"/>
    </xf>
    <xf numFmtId="0" fontId="37" fillId="8" borderId="8" xfId="0" applyFont="1" applyFill="1" applyBorder="1" applyAlignment="1">
      <alignment horizontal="center" vertical="center" wrapText="1"/>
    </xf>
    <xf numFmtId="0" fontId="9" fillId="0" borderId="0" xfId="0" applyFont="1" applyAlignment="1">
      <alignment horizontal="center" vertical="center"/>
    </xf>
    <xf numFmtId="0" fontId="7" fillId="0" borderId="0" xfId="0" applyFont="1" applyAlignment="1">
      <alignment horizontal="center" vertical="center" wrapText="1"/>
    </xf>
    <xf numFmtId="0" fontId="7" fillId="8" borderId="0" xfId="0" applyFont="1" applyFill="1" applyAlignment="1">
      <alignment horizontal="center" vertical="center" wrapText="1"/>
    </xf>
    <xf numFmtId="165" fontId="7" fillId="0" borderId="0" xfId="0" applyNumberFormat="1" applyFont="1" applyAlignment="1">
      <alignment horizontal="center" vertical="center" wrapText="1"/>
    </xf>
    <xf numFmtId="167" fontId="7" fillId="0" borderId="0" xfId="0" applyNumberFormat="1" applyFont="1" applyAlignment="1">
      <alignment horizontal="center" vertical="center" wrapText="1"/>
    </xf>
    <xf numFmtId="168" fontId="7" fillId="0" borderId="0" xfId="0" applyNumberFormat="1" applyFont="1" applyAlignment="1">
      <alignment horizontal="center" vertical="center" wrapText="1"/>
    </xf>
    <xf numFmtId="0" fontId="38" fillId="8" borderId="8" xfId="0" applyFont="1" applyFill="1" applyBorder="1" applyAlignment="1">
      <alignment horizontal="center" vertical="center" wrapText="1"/>
    </xf>
    <xf numFmtId="0" fontId="39" fillId="0" borderId="8" xfId="0" applyFont="1" applyBorder="1" applyAlignment="1">
      <alignment horizontal="center" vertical="center" wrapText="1"/>
    </xf>
    <xf numFmtId="168" fontId="7" fillId="0" borderId="8" xfId="0" applyNumberFormat="1" applyFont="1" applyBorder="1" applyAlignment="1">
      <alignment horizontal="left" vertical="center" wrapText="1"/>
    </xf>
    <xf numFmtId="0" fontId="40" fillId="4" borderId="8" xfId="0" applyFont="1" applyFill="1" applyBorder="1" applyAlignment="1">
      <alignment horizontal="center" wrapText="1"/>
    </xf>
    <xf numFmtId="0" fontId="41" fillId="0" borderId="11" xfId="0" applyFont="1" applyBorder="1" applyAlignment="1">
      <alignment horizontal="center" wrapText="1"/>
    </xf>
    <xf numFmtId="0" fontId="42" fillId="5" borderId="12" xfId="0" applyFont="1" applyFill="1" applyBorder="1" applyAlignment="1">
      <alignment horizontal="center" wrapText="1"/>
    </xf>
    <xf numFmtId="0" fontId="40" fillId="6" borderId="13" xfId="0" applyFont="1" applyFill="1" applyBorder="1" applyAlignment="1">
      <alignment horizontal="center" wrapText="1"/>
    </xf>
    <xf numFmtId="0" fontId="40" fillId="0" borderId="5" xfId="0" applyFont="1" applyBorder="1" applyAlignment="1">
      <alignment horizontal="center"/>
    </xf>
    <xf numFmtId="0" fontId="30" fillId="0" borderId="8" xfId="0" applyFont="1" applyBorder="1" applyAlignment="1">
      <alignment horizontal="center" wrapText="1"/>
    </xf>
    <xf numFmtId="0" fontId="43" fillId="8" borderId="8" xfId="0" applyFont="1" applyFill="1" applyBorder="1" applyAlignment="1">
      <alignment horizontal="center" vertical="center" wrapText="1"/>
    </xf>
    <xf numFmtId="0" fontId="44" fillId="0" borderId="8" xfId="0" applyFont="1" applyBorder="1" applyAlignment="1">
      <alignment vertical="center"/>
    </xf>
    <xf numFmtId="165" fontId="30" fillId="0" borderId="8" xfId="0" applyNumberFormat="1" applyFont="1" applyBorder="1" applyAlignment="1">
      <alignment horizontal="center" vertical="center" wrapText="1"/>
    </xf>
    <xf numFmtId="166" fontId="30" fillId="0" borderId="8" xfId="0" applyNumberFormat="1" applyFont="1" applyBorder="1" applyAlignment="1">
      <alignment horizontal="center" vertical="center" wrapText="1"/>
    </xf>
    <xf numFmtId="168" fontId="30" fillId="0" borderId="8" xfId="0" applyNumberFormat="1" applyFont="1" applyBorder="1" applyAlignment="1">
      <alignment horizontal="center" vertical="center" wrapText="1"/>
    </xf>
    <xf numFmtId="0" fontId="44" fillId="0" borderId="8" xfId="0" applyFont="1" applyBorder="1" applyAlignment="1">
      <alignment vertical="center" wrapText="1"/>
    </xf>
    <xf numFmtId="0" fontId="45" fillId="0" borderId="8" xfId="0" applyFont="1" applyBorder="1" applyAlignment="1">
      <alignment horizontal="center" wrapText="1"/>
    </xf>
    <xf numFmtId="172" fontId="30" fillId="0" borderId="8" xfId="0" applyNumberFormat="1" applyFont="1" applyBorder="1" applyAlignment="1">
      <alignment horizontal="center" vertical="center" wrapText="1"/>
    </xf>
    <xf numFmtId="167" fontId="30" fillId="0" borderId="8" xfId="0" applyNumberFormat="1" applyFont="1" applyBorder="1" applyAlignment="1">
      <alignment horizontal="center" vertical="center" wrapText="1"/>
    </xf>
    <xf numFmtId="0" fontId="46" fillId="8" borderId="8" xfId="0" applyFont="1" applyFill="1" applyBorder="1" applyAlignment="1">
      <alignment horizontal="center" wrapText="1"/>
    </xf>
    <xf numFmtId="165" fontId="30" fillId="0" borderId="8" xfId="0" applyNumberFormat="1" applyFont="1" applyBorder="1" applyAlignment="1">
      <alignment horizontal="center" wrapText="1"/>
    </xf>
    <xf numFmtId="166" fontId="30" fillId="0" borderId="8" xfId="0" applyNumberFormat="1" applyFont="1" applyBorder="1" applyAlignment="1">
      <alignment horizontal="center" wrapText="1"/>
    </xf>
    <xf numFmtId="168" fontId="30" fillId="0" borderId="8" xfId="0" applyNumberFormat="1" applyFont="1" applyBorder="1" applyAlignment="1">
      <alignment horizontal="center" wrapText="1"/>
    </xf>
    <xf numFmtId="0" fontId="47" fillId="0" borderId="8" xfId="0" applyFont="1" applyBorder="1" applyAlignment="1">
      <alignment horizontal="center" wrapText="1"/>
    </xf>
    <xf numFmtId="171" fontId="30" fillId="0" borderId="8" xfId="0" applyNumberFormat="1" applyFont="1" applyBorder="1" applyAlignment="1">
      <alignment horizontal="center" wrapText="1"/>
    </xf>
    <xf numFmtId="167" fontId="30" fillId="0" borderId="8" xfId="0" applyNumberFormat="1" applyFont="1" applyBorder="1" applyAlignment="1">
      <alignment horizontal="center" wrapText="1"/>
    </xf>
    <xf numFmtId="0" fontId="48" fillId="8" borderId="8" xfId="0" applyFont="1" applyFill="1" applyBorder="1" applyAlignment="1">
      <alignment horizontal="center" vertical="center" wrapText="1"/>
    </xf>
    <xf numFmtId="0" fontId="44" fillId="0" borderId="8" xfId="0" applyFont="1" applyBorder="1" applyAlignment="1">
      <alignment horizontal="center" vertical="center"/>
    </xf>
    <xf numFmtId="171" fontId="30" fillId="0" borderId="8" xfId="0" applyNumberFormat="1" applyFont="1" applyBorder="1" applyAlignment="1">
      <alignment horizontal="center" vertical="center" wrapText="1"/>
    </xf>
    <xf numFmtId="0" fontId="44" fillId="0" borderId="8" xfId="0" applyFont="1" applyBorder="1" applyAlignment="1">
      <alignment horizontal="center" vertical="center" wrapText="1"/>
    </xf>
    <xf numFmtId="166" fontId="44" fillId="0" borderId="0" xfId="0" applyNumberFormat="1" applyFont="1"/>
    <xf numFmtId="166" fontId="7" fillId="7" borderId="8" xfId="0" applyNumberFormat="1" applyFont="1" applyFill="1" applyBorder="1" applyAlignment="1">
      <alignment horizontal="center" vertical="center" wrapText="1"/>
    </xf>
    <xf numFmtId="166" fontId="1" fillId="7" borderId="8" xfId="0" applyNumberFormat="1" applyFont="1" applyFill="1" applyBorder="1" applyAlignment="1">
      <alignment horizontal="center" vertical="center" wrapText="1"/>
    </xf>
    <xf numFmtId="0" fontId="49" fillId="7" borderId="8" xfId="0" applyFont="1" applyFill="1" applyBorder="1" applyAlignment="1">
      <alignment horizontal="center" vertical="center" wrapText="1"/>
    </xf>
    <xf numFmtId="0" fontId="50" fillId="7" borderId="8" xfId="0" applyFont="1" applyFill="1" applyBorder="1" applyAlignment="1">
      <alignment horizontal="center" vertical="center" wrapText="1"/>
    </xf>
    <xf numFmtId="0" fontId="44" fillId="0" borderId="0" xfId="0" applyFont="1" applyAlignment="1">
      <alignment vertical="center"/>
    </xf>
    <xf numFmtId="166" fontId="7" fillId="7" borderId="8" xfId="0" applyNumberFormat="1" applyFont="1" applyFill="1" applyBorder="1" applyAlignment="1">
      <alignment horizontal="right" vertical="center" wrapText="1"/>
    </xf>
    <xf numFmtId="0" fontId="44" fillId="0" borderId="8" xfId="0" applyFont="1" applyBorder="1" applyAlignment="1">
      <alignment wrapText="1"/>
    </xf>
    <xf numFmtId="0" fontId="51" fillId="10" borderId="19" xfId="0" applyFont="1" applyFill="1" applyBorder="1" applyAlignment="1">
      <alignment horizontal="center"/>
    </xf>
    <xf numFmtId="0" fontId="52" fillId="11" borderId="21" xfId="0" applyFont="1" applyFill="1" applyBorder="1"/>
    <xf numFmtId="173" fontId="52" fillId="0" borderId="21" xfId="0" applyNumberFormat="1" applyFont="1" applyBorder="1" applyAlignment="1">
      <alignment horizontal="right"/>
    </xf>
    <xf numFmtId="0" fontId="52" fillId="11" borderId="22" xfId="0" applyFont="1" applyFill="1" applyBorder="1"/>
    <xf numFmtId="173" fontId="52" fillId="0" borderId="22" xfId="0" applyNumberFormat="1" applyFont="1" applyBorder="1" applyAlignment="1">
      <alignment horizontal="right"/>
    </xf>
    <xf numFmtId="0" fontId="52" fillId="11" borderId="23" xfId="0" applyFont="1" applyFill="1" applyBorder="1"/>
    <xf numFmtId="173" fontId="52" fillId="0" borderId="23" xfId="0" applyNumberFormat="1" applyFont="1" applyBorder="1" applyAlignment="1">
      <alignment horizontal="right"/>
    </xf>
    <xf numFmtId="0" fontId="52" fillId="11" borderId="24" xfId="0" applyFont="1" applyFill="1" applyBorder="1"/>
    <xf numFmtId="173" fontId="52" fillId="0" borderId="24" xfId="0" applyNumberFormat="1" applyFont="1" applyBorder="1" applyAlignment="1">
      <alignment horizontal="right"/>
    </xf>
    <xf numFmtId="166" fontId="52" fillId="0" borderId="23" xfId="0" applyNumberFormat="1" applyFont="1" applyBorder="1" applyAlignment="1">
      <alignment horizontal="right"/>
    </xf>
    <xf numFmtId="0" fontId="52" fillId="10" borderId="24" xfId="0" applyFont="1" applyFill="1" applyBorder="1"/>
    <xf numFmtId="173" fontId="52" fillId="10" borderId="24" xfId="0" applyNumberFormat="1" applyFont="1" applyFill="1" applyBorder="1" applyAlignment="1">
      <alignment horizontal="right"/>
    </xf>
    <xf numFmtId="0" fontId="52" fillId="11" borderId="25" xfId="0" applyFont="1" applyFill="1" applyBorder="1"/>
    <xf numFmtId="166" fontId="52" fillId="0" borderId="25" xfId="0" applyNumberFormat="1" applyFont="1" applyBorder="1" applyAlignment="1">
      <alignment horizontal="right"/>
    </xf>
    <xf numFmtId="9" fontId="52" fillId="12" borderId="26" xfId="0" applyNumberFormat="1" applyFont="1" applyFill="1" applyBorder="1" applyAlignment="1">
      <alignment horizontal="right"/>
    </xf>
    <xf numFmtId="0" fontId="53" fillId="0" borderId="0" xfId="0" applyFont="1"/>
    <xf numFmtId="9" fontId="52" fillId="12" borderId="29" xfId="0" applyNumberFormat="1" applyFont="1" applyFill="1" applyBorder="1" applyAlignment="1">
      <alignment horizontal="right"/>
    </xf>
    <xf numFmtId="0" fontId="52" fillId="11" borderId="30" xfId="0" applyFont="1" applyFill="1" applyBorder="1"/>
    <xf numFmtId="166" fontId="52" fillId="12" borderId="26" xfId="0" applyNumberFormat="1" applyFont="1" applyFill="1" applyBorder="1" applyAlignment="1">
      <alignment horizontal="right"/>
    </xf>
    <xf numFmtId="0" fontId="54" fillId="0" borderId="0" xfId="0" applyFont="1"/>
    <xf numFmtId="166" fontId="54" fillId="0" borderId="0" xfId="0" applyNumberFormat="1" applyFont="1"/>
    <xf numFmtId="0" fontId="52" fillId="11" borderId="31" xfId="0" applyFont="1" applyFill="1" applyBorder="1"/>
    <xf numFmtId="9" fontId="52" fillId="12" borderId="32" xfId="0" applyNumberFormat="1" applyFont="1" applyFill="1" applyBorder="1" applyAlignment="1">
      <alignment horizontal="right"/>
    </xf>
    <xf numFmtId="166" fontId="52" fillId="12" borderId="29" xfId="0" applyNumberFormat="1" applyFont="1" applyFill="1" applyBorder="1" applyAlignment="1">
      <alignment horizontal="right"/>
    </xf>
    <xf numFmtId="0" fontId="51" fillId="10" borderId="33" xfId="0" applyFont="1" applyFill="1" applyBorder="1"/>
    <xf numFmtId="9" fontId="51" fillId="10" borderId="34" xfId="0" applyNumberFormat="1" applyFont="1" applyFill="1" applyBorder="1" applyAlignment="1">
      <alignment horizontal="right"/>
    </xf>
    <xf numFmtId="0" fontId="52" fillId="11" borderId="8" xfId="0" applyFont="1" applyFill="1" applyBorder="1"/>
    <xf numFmtId="166" fontId="52" fillId="12" borderId="35" xfId="0" applyNumberFormat="1" applyFont="1" applyFill="1" applyBorder="1" applyAlignment="1">
      <alignment horizontal="right"/>
    </xf>
    <xf numFmtId="10" fontId="52" fillId="12" borderId="21" xfId="0" applyNumberFormat="1" applyFont="1" applyFill="1" applyBorder="1" applyAlignment="1">
      <alignment horizontal="right"/>
    </xf>
    <xf numFmtId="10" fontId="52" fillId="12" borderId="22" xfId="0" applyNumberFormat="1" applyFont="1" applyFill="1" applyBorder="1" applyAlignment="1">
      <alignment horizontal="right"/>
    </xf>
    <xf numFmtId="10" fontId="52" fillId="12" borderId="31" xfId="0" applyNumberFormat="1" applyFont="1" applyFill="1" applyBorder="1" applyAlignment="1">
      <alignment horizontal="right"/>
    </xf>
    <xf numFmtId="10" fontId="51" fillId="10" borderId="33" xfId="0" applyNumberFormat="1" applyFont="1" applyFill="1" applyBorder="1" applyAlignment="1">
      <alignment horizontal="right"/>
    </xf>
    <xf numFmtId="166" fontId="52" fillId="11" borderId="25" xfId="0" applyNumberFormat="1" applyFont="1" applyFill="1" applyBorder="1"/>
    <xf numFmtId="10" fontId="52" fillId="12" borderId="24" xfId="0" applyNumberFormat="1" applyFont="1" applyFill="1" applyBorder="1" applyAlignment="1">
      <alignment horizontal="right"/>
    </xf>
    <xf numFmtId="0" fontId="51" fillId="10" borderId="39" xfId="0" applyFont="1" applyFill="1" applyBorder="1" applyAlignment="1">
      <alignment horizontal="center"/>
    </xf>
    <xf numFmtId="0" fontId="52" fillId="0" borderId="21" xfId="0" applyFont="1" applyBorder="1"/>
    <xf numFmtId="173" fontId="52" fillId="12" borderId="21" xfId="0" applyNumberFormat="1" applyFont="1" applyFill="1" applyBorder="1" applyAlignment="1">
      <alignment horizontal="right"/>
    </xf>
    <xf numFmtId="173" fontId="52" fillId="12" borderId="22" xfId="0" applyNumberFormat="1" applyFont="1" applyFill="1" applyBorder="1" applyAlignment="1">
      <alignment horizontal="right"/>
    </xf>
    <xf numFmtId="0" fontId="52" fillId="0" borderId="22" xfId="0" applyFont="1" applyBorder="1"/>
    <xf numFmtId="0" fontId="51" fillId="10" borderId="22" xfId="0" applyFont="1" applyFill="1" applyBorder="1"/>
    <xf numFmtId="9" fontId="51" fillId="10" borderId="22" xfId="0" applyNumberFormat="1" applyFont="1" applyFill="1" applyBorder="1" applyAlignment="1">
      <alignment horizontal="right"/>
    </xf>
    <xf numFmtId="0" fontId="51" fillId="10" borderId="31" xfId="0" applyFont="1" applyFill="1" applyBorder="1"/>
    <xf numFmtId="9" fontId="51" fillId="10" borderId="31" xfId="0" applyNumberFormat="1" applyFont="1" applyFill="1" applyBorder="1" applyAlignment="1">
      <alignment horizontal="right"/>
    </xf>
    <xf numFmtId="0" fontId="52" fillId="0" borderId="23" xfId="0" applyFont="1" applyBorder="1"/>
    <xf numFmtId="173" fontId="52" fillId="0" borderId="23" xfId="0" applyNumberFormat="1" applyFont="1" applyBorder="1"/>
    <xf numFmtId="173" fontId="52" fillId="12" borderId="22" xfId="0" applyNumberFormat="1" applyFont="1" applyFill="1" applyBorder="1"/>
    <xf numFmtId="0" fontId="51" fillId="10" borderId="25" xfId="0" applyFont="1" applyFill="1" applyBorder="1"/>
    <xf numFmtId="10" fontId="51" fillId="10" borderId="40" xfId="0" applyNumberFormat="1" applyFont="1" applyFill="1" applyBorder="1" applyAlignment="1">
      <alignment horizontal="right"/>
    </xf>
    <xf numFmtId="173" fontId="51" fillId="10" borderId="25" xfId="0" applyNumberFormat="1" applyFont="1" applyFill="1" applyBorder="1" applyAlignment="1">
      <alignment horizontal="right"/>
    </xf>
    <xf numFmtId="0" fontId="52" fillId="0" borderId="0" xfId="0" applyFont="1"/>
    <xf numFmtId="0" fontId="51" fillId="10" borderId="41" xfId="0" applyFont="1" applyFill="1" applyBorder="1" applyAlignment="1">
      <alignment horizontal="center"/>
    </xf>
    <xf numFmtId="0" fontId="51" fillId="10" borderId="25" xfId="0" applyFont="1" applyFill="1" applyBorder="1" applyAlignment="1">
      <alignment horizontal="center"/>
    </xf>
    <xf numFmtId="0" fontId="51" fillId="11" borderId="21" xfId="0" applyFont="1" applyFill="1" applyBorder="1"/>
    <xf numFmtId="1" fontId="52" fillId="0" borderId="21" xfId="0" applyNumberFormat="1" applyFont="1" applyBorder="1"/>
    <xf numFmtId="173" fontId="52" fillId="12" borderId="21" xfId="0" applyNumberFormat="1" applyFont="1" applyFill="1" applyBorder="1" applyAlignment="1">
      <alignment horizontal="center"/>
    </xf>
    <xf numFmtId="0" fontId="51" fillId="11" borderId="22" xfId="0" applyFont="1" applyFill="1" applyBorder="1"/>
    <xf numFmtId="0" fontId="52" fillId="0" borderId="45" xfId="0" applyFont="1" applyBorder="1"/>
    <xf numFmtId="1" fontId="52" fillId="0" borderId="22" xfId="0" applyNumberFormat="1" applyFont="1" applyBorder="1"/>
    <xf numFmtId="166" fontId="52" fillId="0" borderId="35" xfId="0" applyNumberFormat="1" applyFont="1" applyBorder="1"/>
    <xf numFmtId="173" fontId="52" fillId="12" borderId="22" xfId="0" applyNumberFormat="1" applyFont="1" applyFill="1" applyBorder="1" applyAlignment="1">
      <alignment horizontal="center"/>
    </xf>
    <xf numFmtId="0" fontId="51" fillId="11" borderId="31" xfId="0" applyFont="1" applyFill="1" applyBorder="1"/>
    <xf numFmtId="173" fontId="52" fillId="12" borderId="31" xfId="0" applyNumberFormat="1" applyFont="1" applyFill="1" applyBorder="1" applyAlignment="1">
      <alignment horizontal="right"/>
    </xf>
    <xf numFmtId="0" fontId="52" fillId="0" borderId="46" xfId="0" applyFont="1" applyBorder="1"/>
    <xf numFmtId="1" fontId="52" fillId="0" borderId="23" xfId="0" applyNumberFormat="1" applyFont="1" applyBorder="1"/>
    <xf numFmtId="166" fontId="52" fillId="0" borderId="47" xfId="0" applyNumberFormat="1" applyFont="1" applyBorder="1"/>
    <xf numFmtId="0" fontId="51" fillId="10" borderId="24" xfId="0" applyFont="1" applyFill="1" applyBorder="1"/>
    <xf numFmtId="173" fontId="51" fillId="10" borderId="24" xfId="0" applyNumberFormat="1" applyFont="1" applyFill="1" applyBorder="1" applyAlignment="1">
      <alignment horizontal="right"/>
    </xf>
    <xf numFmtId="1" fontId="52" fillId="0" borderId="24" xfId="0" applyNumberFormat="1" applyFont="1" applyBorder="1"/>
    <xf numFmtId="173" fontId="52" fillId="0" borderId="47" xfId="0" applyNumberFormat="1" applyFont="1" applyBorder="1"/>
    <xf numFmtId="0" fontId="52" fillId="10" borderId="25" xfId="0" applyFont="1" applyFill="1" applyBorder="1"/>
    <xf numFmtId="0" fontId="52" fillId="10" borderId="48" xfId="0" applyFont="1" applyFill="1" applyBorder="1"/>
    <xf numFmtId="0" fontId="52" fillId="0" borderId="43" xfId="0" applyFont="1" applyBorder="1" applyAlignment="1">
      <alignment horizontal="center"/>
    </xf>
    <xf numFmtId="1" fontId="52" fillId="0" borderId="21" xfId="0" applyNumberFormat="1" applyFont="1" applyBorder="1" applyAlignment="1">
      <alignment horizontal="center"/>
    </xf>
    <xf numFmtId="173" fontId="52" fillId="0" borderId="44" xfId="0" applyNumberFormat="1" applyFont="1" applyBorder="1" applyAlignment="1">
      <alignment horizontal="center"/>
    </xf>
    <xf numFmtId="173" fontId="52" fillId="12" borderId="49" xfId="0" applyNumberFormat="1" applyFont="1" applyFill="1" applyBorder="1" applyAlignment="1">
      <alignment horizontal="center"/>
    </xf>
    <xf numFmtId="0" fontId="52" fillId="0" borderId="30" xfId="0" applyFont="1" applyBorder="1"/>
    <xf numFmtId="0" fontId="52" fillId="0" borderId="50" xfId="0" applyFont="1" applyBorder="1" applyAlignment="1">
      <alignment horizontal="center"/>
    </xf>
    <xf numFmtId="1" fontId="52" fillId="0" borderId="30" xfId="0" applyNumberFormat="1" applyFont="1" applyBorder="1" applyAlignment="1">
      <alignment horizontal="center"/>
    </xf>
    <xf numFmtId="173" fontId="52" fillId="0" borderId="51" xfId="0" applyNumberFormat="1" applyFont="1" applyBorder="1" applyAlignment="1">
      <alignment horizontal="center"/>
    </xf>
    <xf numFmtId="1" fontId="52" fillId="0" borderId="30" xfId="0" applyNumberFormat="1" applyFont="1" applyBorder="1" applyAlignment="1">
      <alignment horizontal="center" vertical="center"/>
    </xf>
    <xf numFmtId="173" fontId="52" fillId="0" borderId="51" xfId="0" applyNumberFormat="1" applyFont="1" applyBorder="1"/>
    <xf numFmtId="0" fontId="52" fillId="0" borderId="50" xfId="0" applyFont="1" applyBorder="1"/>
    <xf numFmtId="1" fontId="52" fillId="0" borderId="30" xfId="0" applyNumberFormat="1" applyFont="1" applyBorder="1"/>
    <xf numFmtId="173" fontId="52" fillId="0" borderId="35" xfId="0" applyNumberFormat="1" applyFont="1" applyBorder="1"/>
    <xf numFmtId="0" fontId="52" fillId="0" borderId="17" xfId="0" applyFont="1" applyBorder="1" applyAlignment="1">
      <alignment horizontal="center"/>
    </xf>
    <xf numFmtId="0" fontId="52" fillId="10" borderId="8" xfId="0" applyFont="1" applyFill="1" applyBorder="1" applyAlignment="1">
      <alignment horizontal="center"/>
    </xf>
    <xf numFmtId="173" fontId="52" fillId="0" borderId="43" xfId="0" applyNumberFormat="1" applyFont="1" applyBorder="1" applyAlignment="1">
      <alignment horizontal="right"/>
    </xf>
    <xf numFmtId="1" fontId="52" fillId="0" borderId="21" xfId="0" applyNumberFormat="1" applyFont="1" applyBorder="1" applyAlignment="1">
      <alignment horizontal="right"/>
    </xf>
    <xf numFmtId="173" fontId="52" fillId="12" borderId="52" xfId="0" applyNumberFormat="1" applyFont="1" applyFill="1" applyBorder="1" applyAlignment="1">
      <alignment horizontal="right"/>
    </xf>
    <xf numFmtId="173" fontId="52" fillId="12" borderId="53" xfId="0" applyNumberFormat="1" applyFont="1" applyFill="1" applyBorder="1" applyAlignment="1">
      <alignment horizontal="right"/>
    </xf>
    <xf numFmtId="173" fontId="52" fillId="12" borderId="8" xfId="0" applyNumberFormat="1" applyFont="1" applyFill="1" applyBorder="1" applyAlignment="1">
      <alignment horizontal="right"/>
    </xf>
    <xf numFmtId="1" fontId="52" fillId="0" borderId="22" xfId="0" applyNumberFormat="1" applyFont="1" applyBorder="1" applyAlignment="1">
      <alignment horizontal="right"/>
    </xf>
    <xf numFmtId="173" fontId="52" fillId="12" borderId="54" xfId="0" applyNumberFormat="1" applyFont="1" applyFill="1" applyBorder="1" applyAlignment="1">
      <alignment horizontal="right"/>
    </xf>
    <xf numFmtId="173" fontId="52" fillId="0" borderId="45" xfId="0" applyNumberFormat="1" applyFont="1" applyBorder="1"/>
    <xf numFmtId="173" fontId="52" fillId="12" borderId="55" xfId="0" applyNumberFormat="1" applyFont="1" applyFill="1" applyBorder="1" applyAlignment="1">
      <alignment horizontal="right"/>
    </xf>
    <xf numFmtId="173" fontId="52" fillId="0" borderId="22" xfId="0" applyNumberFormat="1" applyFont="1" applyBorder="1"/>
    <xf numFmtId="173" fontId="52" fillId="0" borderId="46" xfId="0" applyNumberFormat="1" applyFont="1" applyBorder="1"/>
    <xf numFmtId="173" fontId="51" fillId="10" borderId="19" xfId="0" applyNumberFormat="1" applyFont="1" applyFill="1" applyBorder="1" applyAlignment="1">
      <alignment horizontal="right"/>
    </xf>
    <xf numFmtId="173" fontId="52" fillId="10" borderId="8" xfId="0" applyNumberFormat="1" applyFont="1" applyFill="1" applyBorder="1" applyAlignment="1">
      <alignment horizontal="right"/>
    </xf>
    <xf numFmtId="0" fontId="56" fillId="0" borderId="0" xfId="0" applyFont="1"/>
    <xf numFmtId="0" fontId="60" fillId="0" borderId="0" xfId="0" applyFont="1"/>
    <xf numFmtId="0" fontId="61" fillId="0" borderId="0" xfId="0" applyFont="1"/>
    <xf numFmtId="0" fontId="55" fillId="0" borderId="8" xfId="0" applyFont="1" applyBorder="1" applyAlignment="1">
      <alignment vertical="center"/>
    </xf>
    <xf numFmtId="0" fontId="55" fillId="13" borderId="8" xfId="0" applyFont="1" applyFill="1" applyBorder="1" applyAlignment="1">
      <alignment vertical="center"/>
    </xf>
    <xf numFmtId="0" fontId="62" fillId="0" borderId="0" xfId="0" applyFont="1"/>
    <xf numFmtId="0" fontId="63" fillId="0" borderId="0" xfId="0" applyFont="1" applyAlignment="1">
      <alignment horizontal="center"/>
    </xf>
    <xf numFmtId="0" fontId="73" fillId="7" borderId="8" xfId="0" applyFont="1" applyFill="1" applyBorder="1" applyAlignment="1">
      <alignment horizontal="center" vertical="center" wrapText="1"/>
    </xf>
    <xf numFmtId="0" fontId="71" fillId="0" borderId="8" xfId="1" applyBorder="1" applyAlignment="1">
      <alignment horizontal="center" vertical="center" wrapText="1"/>
    </xf>
    <xf numFmtId="0" fontId="74" fillId="0" borderId="8" xfId="0" applyFont="1" applyBorder="1" applyAlignment="1">
      <alignment horizontal="center" vertical="center" wrapText="1"/>
    </xf>
    <xf numFmtId="0" fontId="71" fillId="7" borderId="8" xfId="1" applyFill="1" applyBorder="1" applyAlignment="1">
      <alignment horizontal="center" vertical="center" wrapText="1"/>
    </xf>
    <xf numFmtId="0" fontId="73" fillId="0" borderId="8" xfId="0" applyFont="1" applyBorder="1" applyAlignment="1">
      <alignment horizontal="center" vertical="center" wrapText="1"/>
    </xf>
    <xf numFmtId="0" fontId="75" fillId="0" borderId="22" xfId="0" applyFont="1" applyBorder="1" applyAlignment="1">
      <alignment vertical="center" wrapText="1"/>
    </xf>
    <xf numFmtId="0" fontId="75" fillId="0" borderId="21" xfId="0" applyFont="1" applyBorder="1"/>
    <xf numFmtId="0" fontId="75" fillId="0" borderId="52" xfId="0" applyFont="1" applyBorder="1"/>
    <xf numFmtId="0" fontId="51" fillId="10" borderId="48" xfId="0" applyFont="1" applyFill="1" applyBorder="1"/>
    <xf numFmtId="0" fontId="72" fillId="0" borderId="64" xfId="0" applyFont="1" applyBorder="1"/>
    <xf numFmtId="3" fontId="72" fillId="0" borderId="0" xfId="0" applyNumberFormat="1" applyFont="1"/>
    <xf numFmtId="0" fontId="75" fillId="0" borderId="22" xfId="0" applyFont="1" applyBorder="1"/>
    <xf numFmtId="0" fontId="52" fillId="0" borderId="52" xfId="0" applyFont="1" applyBorder="1" applyAlignment="1">
      <alignment horizontal="center"/>
    </xf>
    <xf numFmtId="0" fontId="52" fillId="0" borderId="17" xfId="0" applyFont="1" applyBorder="1"/>
    <xf numFmtId="0" fontId="52" fillId="0" borderId="55" xfId="0" applyFont="1" applyBorder="1"/>
    <xf numFmtId="0" fontId="52" fillId="0" borderId="58" xfId="0" applyFont="1" applyBorder="1"/>
    <xf numFmtId="0" fontId="76" fillId="0" borderId="64" xfId="0" applyFont="1" applyBorder="1" applyAlignment="1">
      <alignment horizontal="left"/>
    </xf>
    <xf numFmtId="0" fontId="77" fillId="0" borderId="64" xfId="0" applyFont="1" applyBorder="1" applyAlignment="1">
      <alignment horizontal="left" vertical="center" wrapText="1"/>
    </xf>
    <xf numFmtId="0" fontId="52" fillId="0" borderId="64" xfId="0" applyFont="1" applyBorder="1"/>
    <xf numFmtId="0" fontId="0" fillId="0" borderId="64" xfId="0" applyBorder="1"/>
    <xf numFmtId="0" fontId="59" fillId="16" borderId="8" xfId="0" applyFont="1" applyFill="1" applyBorder="1" applyAlignment="1">
      <alignment horizontal="center" vertical="center"/>
    </xf>
    <xf numFmtId="166" fontId="59" fillId="17" borderId="61" xfId="0" applyNumberFormat="1" applyFont="1" applyFill="1" applyBorder="1" applyAlignment="1">
      <alignment horizontal="center" vertical="center"/>
    </xf>
    <xf numFmtId="166" fontId="59" fillId="17" borderId="62" xfId="0" applyNumberFormat="1" applyFont="1" applyFill="1" applyBorder="1" applyAlignment="1">
      <alignment horizontal="center" vertical="center"/>
    </xf>
    <xf numFmtId="166" fontId="64" fillId="17" borderId="63" xfId="0" applyNumberFormat="1" applyFont="1" applyFill="1" applyBorder="1" applyAlignment="1">
      <alignment horizontal="center" vertical="center"/>
    </xf>
    <xf numFmtId="0" fontId="80" fillId="0" borderId="8" xfId="0" applyFont="1" applyBorder="1" applyAlignment="1">
      <alignment horizontal="center" vertical="center" wrapText="1"/>
    </xf>
    <xf numFmtId="0" fontId="81" fillId="0" borderId="8" xfId="0" applyFont="1" applyBorder="1" applyAlignment="1">
      <alignment horizontal="center" vertical="center" wrapText="1"/>
    </xf>
    <xf numFmtId="0" fontId="81" fillId="0" borderId="8" xfId="0" applyFont="1" applyBorder="1" applyAlignment="1">
      <alignment horizontal="center" vertical="center"/>
    </xf>
    <xf numFmtId="166" fontId="81" fillId="0" borderId="8" xfId="0" applyNumberFormat="1" applyFont="1" applyBorder="1" applyAlignment="1">
      <alignment horizontal="center" vertical="center"/>
    </xf>
    <xf numFmtId="166" fontId="82" fillId="0" borderId="8" xfId="0" applyNumberFormat="1" applyFont="1" applyBorder="1" applyAlignment="1">
      <alignment horizontal="center" vertical="center" wrapText="1"/>
    </xf>
    <xf numFmtId="0" fontId="81" fillId="7" borderId="8" xfId="0" applyFont="1" applyFill="1" applyBorder="1" applyAlignment="1">
      <alignment horizontal="center" vertical="center" wrapText="1"/>
    </xf>
    <xf numFmtId="0" fontId="81" fillId="7" borderId="5" xfId="0" applyFont="1" applyFill="1" applyBorder="1" applyAlignment="1">
      <alignment horizontal="center" vertical="center" wrapText="1"/>
    </xf>
    <xf numFmtId="0" fontId="81" fillId="7" borderId="8" xfId="0" applyFont="1" applyFill="1" applyBorder="1" applyAlignment="1">
      <alignment horizontal="center" vertical="center"/>
    </xf>
    <xf numFmtId="166" fontId="81" fillId="7" borderId="8" xfId="0" applyNumberFormat="1" applyFont="1" applyFill="1" applyBorder="1" applyAlignment="1">
      <alignment horizontal="center" vertical="center"/>
    </xf>
    <xf numFmtId="166" fontId="82" fillId="7" borderId="8" xfId="0" applyNumberFormat="1" applyFont="1" applyFill="1" applyBorder="1" applyAlignment="1">
      <alignment horizontal="center" vertical="center" wrapText="1"/>
    </xf>
    <xf numFmtId="174" fontId="82" fillId="0" borderId="8" xfId="0" applyNumberFormat="1" applyFont="1" applyBorder="1" applyAlignment="1">
      <alignment horizontal="center" vertical="center" wrapText="1"/>
    </xf>
    <xf numFmtId="166" fontId="81" fillId="0" borderId="8" xfId="0" applyNumberFormat="1" applyFont="1" applyBorder="1" applyAlignment="1">
      <alignment horizontal="center" vertical="center" wrapText="1"/>
    </xf>
    <xf numFmtId="0" fontId="72" fillId="18" borderId="64" xfId="0" applyFont="1" applyFill="1" applyBorder="1"/>
    <xf numFmtId="0" fontId="0" fillId="19" borderId="64" xfId="0" applyFill="1" applyBorder="1" applyAlignment="1">
      <alignment horizontal="center" vertical="center"/>
    </xf>
    <xf numFmtId="173" fontId="0" fillId="19" borderId="64" xfId="0" applyNumberFormat="1" applyFill="1" applyBorder="1" applyAlignment="1">
      <alignment horizontal="center" vertical="center"/>
    </xf>
    <xf numFmtId="44" fontId="0" fillId="19" borderId="64" xfId="0" applyNumberFormat="1" applyFill="1" applyBorder="1" applyAlignment="1">
      <alignment horizontal="center" vertical="center"/>
    </xf>
    <xf numFmtId="0" fontId="0" fillId="0" borderId="0" xfId="0" applyAlignment="1">
      <alignment horizontal="center" vertical="center"/>
    </xf>
    <xf numFmtId="0" fontId="84" fillId="7" borderId="8" xfId="0" applyFont="1" applyFill="1" applyBorder="1" applyAlignment="1">
      <alignment horizontal="center" vertical="center" wrapText="1"/>
    </xf>
    <xf numFmtId="0" fontId="75" fillId="0" borderId="17" xfId="0" applyFont="1" applyBorder="1" applyAlignment="1">
      <alignment horizontal="center" vertical="center"/>
    </xf>
    <xf numFmtId="173" fontId="52" fillId="12" borderId="49" xfId="0" applyNumberFormat="1" applyFont="1" applyFill="1" applyBorder="1" applyAlignment="1">
      <alignment horizontal="center" vertical="center"/>
    </xf>
    <xf numFmtId="0" fontId="51" fillId="10" borderId="19" xfId="0" applyFont="1" applyFill="1" applyBorder="1" applyAlignment="1">
      <alignment horizontal="center"/>
    </xf>
    <xf numFmtId="0" fontId="3" fillId="0" borderId="38" xfId="0" applyFont="1" applyBorder="1"/>
    <xf numFmtId="0" fontId="3" fillId="0" borderId="20" xfId="0" applyFont="1" applyBorder="1"/>
    <xf numFmtId="0" fontId="83" fillId="18" borderId="65" xfId="0" applyFont="1" applyFill="1" applyBorder="1" applyAlignment="1">
      <alignment horizontal="center"/>
    </xf>
    <xf numFmtId="0" fontId="83" fillId="18" borderId="66" xfId="0" applyFont="1" applyFill="1" applyBorder="1" applyAlignment="1">
      <alignment horizontal="center"/>
    </xf>
    <xf numFmtId="0" fontId="72" fillId="19" borderId="66" xfId="0" applyFont="1" applyFill="1" applyBorder="1" applyAlignment="1">
      <alignment horizontal="center"/>
    </xf>
    <xf numFmtId="0" fontId="0" fillId="19" borderId="66" xfId="0" applyFill="1" applyBorder="1" applyAlignment="1">
      <alignment horizontal="center"/>
    </xf>
    <xf numFmtId="0" fontId="0" fillId="19" borderId="67" xfId="0" applyFill="1" applyBorder="1" applyAlignment="1">
      <alignment horizontal="center"/>
    </xf>
    <xf numFmtId="0" fontId="2" fillId="2" borderId="2" xfId="0" applyFont="1" applyFill="1" applyBorder="1" applyAlignment="1">
      <alignment horizontal="center"/>
    </xf>
    <xf numFmtId="0" fontId="3" fillId="0" borderId="3" xfId="0" applyFont="1" applyBorder="1"/>
    <xf numFmtId="0" fontId="3" fillId="0" borderId="4" xfId="0" applyFont="1" applyBorder="1"/>
    <xf numFmtId="0" fontId="8" fillId="0" borderId="0" xfId="0" applyFont="1" applyAlignment="1">
      <alignment horizontal="center" vertical="center"/>
    </xf>
    <xf numFmtId="0" fontId="0" fillId="0" borderId="0" xfId="0"/>
    <xf numFmtId="0" fontId="8" fillId="3" borderId="5" xfId="0" applyFont="1" applyFill="1" applyBorder="1" applyAlignment="1">
      <alignment horizontal="center" vertical="center" wrapText="1"/>
    </xf>
    <xf numFmtId="0" fontId="3" fillId="0" borderId="6" xfId="0" applyFont="1" applyBorder="1"/>
    <xf numFmtId="0" fontId="3" fillId="0" borderId="7" xfId="0" applyFont="1" applyBorder="1"/>
    <xf numFmtId="0" fontId="9" fillId="0" borderId="5" xfId="0" applyFont="1" applyBorder="1" applyAlignment="1">
      <alignment horizontal="left" vertical="center" wrapText="1"/>
    </xf>
    <xf numFmtId="0" fontId="36" fillId="9" borderId="5" xfId="0" applyFont="1" applyFill="1" applyBorder="1" applyAlignment="1">
      <alignment horizontal="center" vertical="center"/>
    </xf>
    <xf numFmtId="0" fontId="36" fillId="9" borderId="16" xfId="0" applyFont="1" applyFill="1" applyBorder="1" applyAlignment="1">
      <alignment horizontal="center" vertical="center"/>
    </xf>
    <xf numFmtId="0" fontId="3" fillId="0" borderId="17" xfId="0" applyFont="1" applyBorder="1"/>
    <xf numFmtId="0" fontId="3" fillId="0" borderId="18" xfId="0" applyFont="1" applyBorder="1"/>
    <xf numFmtId="0" fontId="52" fillId="11" borderId="19" xfId="0" applyFont="1" applyFill="1" applyBorder="1" applyAlignment="1">
      <alignment horizontal="center"/>
    </xf>
    <xf numFmtId="0" fontId="51" fillId="10" borderId="27" xfId="0" applyFont="1" applyFill="1" applyBorder="1" applyAlignment="1">
      <alignment horizontal="center"/>
    </xf>
    <xf numFmtId="0" fontId="3" fillId="0" borderId="28" xfId="0" applyFont="1" applyBorder="1"/>
    <xf numFmtId="0" fontId="51" fillId="10" borderId="36" xfId="0" applyFont="1" applyFill="1" applyBorder="1" applyAlignment="1">
      <alignment horizontal="center"/>
    </xf>
    <xf numFmtId="0" fontId="3" fillId="0" borderId="37" xfId="0" applyFont="1" applyBorder="1"/>
    <xf numFmtId="0" fontId="51" fillId="10" borderId="41" xfId="0" applyFont="1" applyFill="1" applyBorder="1" applyAlignment="1">
      <alignment horizontal="center"/>
    </xf>
    <xf numFmtId="0" fontId="3" fillId="0" borderId="42" xfId="0" applyFont="1" applyBorder="1"/>
    <xf numFmtId="0" fontId="76" fillId="10" borderId="19" xfId="0" applyFont="1" applyFill="1" applyBorder="1" applyAlignment="1">
      <alignment horizontal="center"/>
    </xf>
    <xf numFmtId="0" fontId="79" fillId="0" borderId="5" xfId="0" applyFont="1" applyBorder="1" applyAlignment="1">
      <alignment horizontal="left" vertical="center"/>
    </xf>
    <xf numFmtId="0" fontId="55" fillId="0" borderId="5" xfId="0" applyFont="1" applyBorder="1" applyAlignment="1">
      <alignment horizontal="left" vertical="center"/>
    </xf>
    <xf numFmtId="0" fontId="64" fillId="17" borderId="60" xfId="0" applyFont="1" applyFill="1" applyBorder="1" applyAlignment="1">
      <alignment horizontal="center" vertical="center"/>
    </xf>
    <xf numFmtId="0" fontId="3" fillId="15" borderId="61" xfId="0" applyFont="1" applyFill="1" applyBorder="1"/>
    <xf numFmtId="0" fontId="55" fillId="0" borderId="11" xfId="0" applyFont="1" applyBorder="1" applyAlignment="1">
      <alignment horizontal="center" vertical="center"/>
    </xf>
    <xf numFmtId="0" fontId="3" fillId="0" borderId="14" xfId="0" applyFont="1" applyBorder="1"/>
    <xf numFmtId="0" fontId="55" fillId="0" borderId="57" xfId="0" applyFont="1" applyBorder="1" applyAlignment="1">
      <alignment horizontal="center" vertical="center"/>
    </xf>
    <xf numFmtId="0" fontId="3" fillId="0" borderId="58" xfId="0" applyFont="1" applyBorder="1"/>
    <xf numFmtId="0" fontId="3" fillId="0" borderId="59" xfId="0" applyFont="1" applyBorder="1"/>
    <xf numFmtId="0" fontId="3" fillId="0" borderId="16" xfId="0" applyFont="1" applyBorder="1"/>
    <xf numFmtId="0" fontId="55" fillId="13" borderId="5" xfId="0" applyFont="1" applyFill="1" applyBorder="1" applyAlignment="1">
      <alignment horizontal="left" vertical="center"/>
    </xf>
    <xf numFmtId="164" fontId="55" fillId="0" borderId="57" xfId="0" applyNumberFormat="1" applyFont="1" applyBorder="1" applyAlignment="1">
      <alignment horizontal="center" vertical="center"/>
    </xf>
    <xf numFmtId="0" fontId="79" fillId="13" borderId="5" xfId="0" applyFont="1" applyFill="1" applyBorder="1" applyAlignment="1">
      <alignment horizontal="left" vertical="center"/>
    </xf>
    <xf numFmtId="0" fontId="57" fillId="14" borderId="5" xfId="0" applyFont="1" applyFill="1" applyBorder="1" applyAlignment="1">
      <alignment horizontal="center"/>
    </xf>
    <xf numFmtId="0" fontId="3" fillId="15" borderId="6" xfId="0" applyFont="1" applyFill="1" applyBorder="1"/>
    <xf numFmtId="0" fontId="3" fillId="15" borderId="7" xfId="0" applyFont="1" applyFill="1" applyBorder="1"/>
    <xf numFmtId="0" fontId="58" fillId="0" borderId="11" xfId="0" applyFont="1" applyBorder="1"/>
    <xf numFmtId="0" fontId="3" fillId="0" borderId="56" xfId="0" applyFont="1" applyBorder="1"/>
    <xf numFmtId="0" fontId="78" fillId="7" borderId="5" xfId="0" applyFont="1" applyFill="1" applyBorder="1" applyAlignment="1">
      <alignment horizontal="left" vertical="center"/>
    </xf>
    <xf numFmtId="0" fontId="85" fillId="0" borderId="40" xfId="0" applyFont="1" applyBorder="1"/>
    <xf numFmtId="0" fontId="51" fillId="10" borderId="25" xfId="0" applyFont="1" applyFill="1" applyBorder="1" applyAlignment="1">
      <alignment horizontal="center" vertical="center"/>
    </xf>
    <xf numFmtId="0" fontId="52" fillId="12" borderId="22" xfId="0" applyFont="1" applyFill="1" applyBorder="1" applyAlignment="1">
      <alignment horizontal="left" vertical="center"/>
    </xf>
    <xf numFmtId="173" fontId="52" fillId="12" borderId="22" xfId="0" applyNumberFormat="1" applyFont="1" applyFill="1" applyBorder="1" applyAlignment="1">
      <alignment horizontal="right" vertical="center"/>
    </xf>
    <xf numFmtId="0" fontId="51" fillId="10" borderId="25" xfId="0" applyFont="1" applyFill="1" applyBorder="1" applyAlignment="1">
      <alignment horizontal="left" vertical="center"/>
    </xf>
    <xf numFmtId="173" fontId="51" fillId="10" borderId="25" xfId="0" applyNumberFormat="1" applyFont="1"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 Id="rId27" Type="http://schemas.microsoft.com/office/2022/10/relationships/richValueRel" Target="richData/richValueRel.xml"/><Relationship Id="rId30"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elipe_Eth\Documents\Costos%20Proyecto%20(1)%20(1).xlsx" TargetMode="External"/><Relationship Id="rId1" Type="http://schemas.openxmlformats.org/officeDocument/2006/relationships/externalLinkPath" Target="Costos%20Proyecto%20(1)%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alisis de Mercado"/>
      <sheetName val="Estructura de Mercado"/>
      <sheetName val="Datos Economicos"/>
      <sheetName val="ParaFiscales"/>
      <sheetName val="Gastos de Constitución"/>
      <sheetName val="Plan de Inversion"/>
      <sheetName val="Gastos de Personal"/>
      <sheetName val="Gastos Administrativos"/>
      <sheetName val="Gastos de Marketing"/>
      <sheetName val="Producto 1"/>
      <sheetName val="Producto 2"/>
      <sheetName val="Producto 3"/>
      <sheetName val="Producto 4"/>
      <sheetName val="Comportamiento de Ventas"/>
      <sheetName val="Comportamiento de Compras"/>
      <sheetName val="Costos del Proyecto"/>
    </sheetNames>
    <sheetDataSet>
      <sheetData sheetId="0" refreshError="1"/>
      <sheetData sheetId="1" refreshError="1"/>
      <sheetData sheetId="2" refreshError="1"/>
      <sheetData sheetId="3" refreshError="1"/>
      <sheetData sheetId="4"/>
      <sheetData sheetId="5"/>
      <sheetData sheetId="6">
        <row r="36">
          <cell r="C36">
            <v>3593100</v>
          </cell>
        </row>
      </sheetData>
      <sheetData sheetId="7">
        <row r="16">
          <cell r="D16">
            <v>1340000</v>
          </cell>
        </row>
      </sheetData>
      <sheetData sheetId="8"/>
      <sheetData sheetId="9" refreshError="1"/>
      <sheetData sheetId="10" refreshError="1"/>
      <sheetData sheetId="11" refreshError="1"/>
      <sheetData sheetId="12" refreshError="1"/>
      <sheetData sheetId="13" refreshError="1"/>
      <sheetData sheetId="14"/>
      <sheetData sheetId="15"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mercadolibre.com.co/portatil-lenovo-v14-g4-amn-amd-ryzen-5-7520u-16gb-512gb-fhd-14-color-gris/p/MCO45053079?pdp_filters=item_id%3AMCO2947822406&amp;from=gshop&amp;matt_tool=87585337&amp;matt_word=&amp;matt_source=google&amp;matt_campaign_id=22126928786&amp;matt_ad_group_id=173140661443&amp;matt_match_type=&amp;matt_network=g&amp;matt_device=c&amp;matt_creative=729836849962&amp;matt_keyword=&amp;matt_ad_position=&amp;matt_ad_type=pla&amp;matt_merchant_id=735127761&amp;matt_product_id=MCO45053079-product&amp;matt_product_partition_id=2389933078058&amp;matt_target_id=pla-2389933078058&amp;cq_src=google_ads&amp;cq_cmp=22126928786&amp;cq_net=g&amp;cq_plt=gp&amp;cq_med=pla&amp;gad_source=4&amp;gad_campaignid=22126928786&amp;gclid=Cj0KCQjwsdnNBhC4ARIsAA_3hehZmNmorHRXA7_8HlblU0iW2-kiIXruU_z4KOS5hmAN95fsypdjtcEaAm1KEALw_wcB" TargetMode="External"/><Relationship Id="rId2" Type="http://schemas.openxmlformats.org/officeDocument/2006/relationships/hyperlink" Target="https://www.exito.com/portatil-lenovo-v14-g4-amn-amd-ryzen-5-7520u-16gb-ssd512gb-156-win-11-de-prueba-103253633-mp/p?idsku=103253633&amp;srsltid=AfmBOoqdyqQH0j3UkD2IZrM8MsVXaowHdOoFs179VDVw_O-FFEt5L5RPZyE" TargetMode="External"/><Relationship Id="rId1" Type="http://schemas.openxmlformats.org/officeDocument/2006/relationships/hyperlink" Target="https://www.ktronix.com/computador-portatil-lenovo-ideapad-slim-3-153-pulgadas/p/198155958762"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falabella.com.co/falabella-co/product/126378737/Memoria-ram-crucial-ddr4-16gb-3200mhz-portatil/126378738" TargetMode="External"/><Relationship Id="rId2" Type="http://schemas.openxmlformats.org/officeDocument/2006/relationships/hyperlink" Target="https://www.mercadolibre.com.co/memoria-ram-portatil-attech-ddr4-16gb-3200mhz/p/MCO52290549?matt_tool=19390127&amp;utm_source=google_shopping&amp;utm_medium=organic&amp;pdp_filters=item_id%3AMCO2945863306&amp;from=gshop" TargetMode="External"/><Relationship Id="rId1" Type="http://schemas.openxmlformats.org/officeDocument/2006/relationships/hyperlink" Target="https://www.exito.com/memoria-ram-16gb-ddr4-3200mhz-attech-para-portatil-104852224-mp/p?idsku=104852224&amp;srsltid=AfmBOooaU4HzfFuGmZoUy9X8MdqiUeIpSI_pPfZC4B6p64bIrDdUj0puV2I"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alkosto.com/disco-duro-toshiba-ready-1-tb/p/723844000851?utm_source=google&amp;utm_medium=organic&amp;utm_campaign=Shopping-Organico&amp;srsltid=AfmBOoq20RRhpBms0yg02Lc1nei79ck9okHFJF9yeDTM7CqF4wGeGbYceyo" TargetMode="External"/><Relationship Id="rId2" Type="http://schemas.openxmlformats.org/officeDocument/2006/relationships/hyperlink" Target="https://www.ktronix.com/disco-estado-solido-externo-ssd-kingston-xs1000-1tb-rojo/p/740617343748?utm_source=google&amp;utm_medium=organic&amp;utm_campaign=Shopping-organico&amp;srsltid=AfmBOopSoaXg4kZta4TC0pM8kGWRhkvq21vh-XjaQANXGX_sZ_mSEwwnn0g" TargetMode="External"/><Relationship Id="rId1" Type="http://schemas.openxmlformats.org/officeDocument/2006/relationships/hyperlink" Target="https://articulo.mercadolibre.com.co/MCO-2236719560-disco-duro-externo-de-1-tb-de-estilo-nuevo-_JM?matt_tool=19390127&amp;utm_source=google_shopping&amp;utm_medium=organic"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exito.com/disco-duro-estado-solido-ssd-hiksemi-m2-pcie-nvme-512gb-104226281-mp/p?idsku=104226281&amp;srsltid=AfmBOorUzAd3JS7H-EdGjUP3yMwNexywbYTmrkV28JZHi6ZmprT0P7ElqJc" TargetMode="External"/><Relationship Id="rId2" Type="http://schemas.openxmlformats.org/officeDocument/2006/relationships/hyperlink" Target="https://www.mercadolibre.com.co/disco-solido-ssd-interno-kingspec-ne512-512gb-m2-mvme-2280/up/MCOU2477622600" TargetMode="External"/><Relationship Id="rId1" Type="http://schemas.openxmlformats.org/officeDocument/2006/relationships/hyperlink" Target="https://unilago.com/producto/53338-Disco-Est?srsltid=AfmBOoruL-lQfsUbrTJoBmfuCSMPbY4XcXWeFYUkaxdoZs6XwZYXag5Vzc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exito.com/mouse-inalambrico-logitech-m650-l-dual-usb-bluetooth-102123137-mp/p?idsku=102123137&amp;srsltid=AfmBOortGD6votW2UoNZw-19jenH_pPPgxuCBUCokFRX8FrQzlMM34ac2gk" TargetMode="External"/><Relationship Id="rId2" Type="http://schemas.openxmlformats.org/officeDocument/2006/relationships/hyperlink" Target="https://www.alkosto.com/mouse-logitech-inalambrico-optico-mediano-m650-gris/p/097855167637?utm_source=google&amp;utm_medium=organic&amp;utm_campaign=Shopping-Organico&amp;srsltid=AfmBOoq_LcPgn-8EbwOkN8l4T0e4ZFuGI-3mamtXRjHucysBso3X2YDiGRQ" TargetMode="External"/><Relationship Id="rId1" Type="http://schemas.openxmlformats.org/officeDocument/2006/relationships/hyperlink" Target="https://www.falabella.com.co/falabella-co/product/127667703/Mouse-Logitech-M650-INALAMBRICO-GRIS/127667704"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co.store.asus.com/90nb0x22-m017c0-portatil-portatil-asus-vivobook-15-m1502ya-r7-16gb-512gb-ssd-amd-radeon-15-m1502ya-nj180w.html?gad_source=4&amp;gad_campaignid=17419861357&amp;gclid=Cj0KCQjwsdnNBhC4ARIsAA_3hehifBu4LJkQTXtdsiGdK3S2Yzc9_kKTreCKiKNSasjNwQ2jO-E1ql8aAgZ8EALw_wcB" TargetMode="External"/><Relationship Id="rId2" Type="http://schemas.openxmlformats.org/officeDocument/2006/relationships/hyperlink" Target="https://www.mercadolibre.com.co/lenovo-v15-g4-156---core-i5-13a-generacion-16gb-ssd-1tb/up/MCOU3037567568?pdp_filters=item_id:MCO1547114667" TargetMode="External"/><Relationship Id="rId1" Type="http://schemas.openxmlformats.org/officeDocument/2006/relationships/hyperlink" Target="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exito.com/disco-duro-estado-solido-ssd-hiksemi-m2-pcie-nvme-512gb-104226281-mp/p?idsku=104226281&amp;srsltid=AfmBOorUzAd3JS7H-EdGjUP3yMwNexywbYTmrkV28JZHi6ZmprT0P7ElqJc" TargetMode="External"/><Relationship Id="rId2" Type="http://schemas.openxmlformats.org/officeDocument/2006/relationships/hyperlink" Target="https://www.mercadolibre.com.co/disco-solido-ssd-interno-kingspec-ne512-512gb-m2-mvme-2280/up/MCOU2477622600" TargetMode="External"/><Relationship Id="rId1" Type="http://schemas.openxmlformats.org/officeDocument/2006/relationships/hyperlink" Target="https://unilago.com/producto/53338-Disco-Est?srsltid=AfmBOoruL-lQfsUbrTJoBmfuCSMPbY4XcXWeFYUkaxdoZs6XwZYXag5Vzc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exito.com/memoria-ram-portatil-16gb-ddr5-adata-4800-mts-102561351-mp/p?idsku=102561351&amp;srsltid=AfmBOorr8ZTnvWbBCaj0tAL00_P6AQF-hL5xw-v_nvKFt9ZzNkHoYYIcH_w" TargetMode="External"/><Relationship Id="rId2" Type="http://schemas.openxmlformats.org/officeDocument/2006/relationships/hyperlink" Target="https://www.falabella.com.co/falabella-co/product/132167823/Memoria-Ram-Adata-Para-Portatil-O-Aio-16gb-Ddr5-4800-MHz/132167824" TargetMode="External"/><Relationship Id="rId1" Type="http://schemas.openxmlformats.org/officeDocument/2006/relationships/hyperlink" Target="https://www.mercadolibre.com.co/memoria-adata-ram-portatil-ddr5-16gb-bus-4800/up/MCOU2483034876"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alkosto.com/mouse-logitech-inalambrico-bluetooth-optico-mx-master-3s/p/097855175359?utm_source=google&amp;utm_medium=organic&amp;utm_campaign=Shopping-Organico&amp;srsltid=AfmBOoopbFAEMc5d7ACI0-PuAfwymwQtAgO2df3p-7Oh4Nhn1rx-hMReoz8" TargetMode="External"/><Relationship Id="rId2" Type="http://schemas.openxmlformats.org/officeDocument/2006/relationships/hyperlink" Target="https://www.exito.com/mouse-inalambrico-recargable-logitech-mx-master-3s-grafito-102214351-mp/p?idsku=102214351&amp;srsltid=AfmBOoq9Xsr4XUFw85B8u3pz40gh-367Q5VOdKIrJ3tVwbhf2Dt2dGAXg80" TargetMode="External"/><Relationship Id="rId1" Type="http://schemas.openxmlformats.org/officeDocument/2006/relationships/hyperlink" Target="https://www.mercadolibre.com.co/mouse-logitech-mx-master-3s-inalambrico-10m-color-grafito/p/MCO2057634967?matt_tool=19390127&amp;utm_source=google_shopping&amp;utm_medium=organic&amp;pdp_filters=item_id%3AMCO2928069778&amp;from=gshop"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alkosto.com/disco-duro-toshiba-ready-1-tb/p/723844000851?utm_source=google&amp;utm_medium=organic&amp;utm_campaign=Shopping-Organico&amp;srsltid=AfmBOoq20RRhpBms0yg02Lc1nei79ck9okHFJF9yeDTM7CqF4wGeGbYceyo" TargetMode="External"/><Relationship Id="rId2" Type="http://schemas.openxmlformats.org/officeDocument/2006/relationships/hyperlink" Target="https://www.ktronix.com/disco-estado-solido-externo-ssd-kingston-xs1000-1tb-rojo/p/740617343748?utm_source=google&amp;utm_medium=organic&amp;utm_campaign=Shopping-organico&amp;srsltid=AfmBOopSoaXg4kZta4TC0pM8kGWRhkvq21vh-XjaQANXGX_sZ_mSEwwnn0g" TargetMode="External"/><Relationship Id="rId1" Type="http://schemas.openxmlformats.org/officeDocument/2006/relationships/hyperlink" Target="https://articulo.mercadolibre.com.co/MCO-2236719560-disco-duro-externo-de-1-tb-de-estilo-nuevo-_JM?matt_tool=19390127&amp;utm_source=google_shopping&amp;utm_medium=organic"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revolutionsoft.com.co/windows-11/windows-11-pro.html?id_product_attribute=0&amp;gad_source=1&amp;gad_campaignid=23455508345&amp;gclid=Cj0KCQjwsdnNBhC4ARIsAA_3heh6bxXgaXqyBGVlcKNdyYTDoRoNcOMNnE_-QZjKSYuc1RfEXdSFUBwaAjOQEALw_wcB" TargetMode="External"/><Relationship Id="rId2" Type="http://schemas.openxmlformats.org/officeDocument/2006/relationships/hyperlink" Target="https://articulo.mercadolibre.com.co/MCO-1847545845-licencia-windows-1011-pro-clave-de-activacion-original-_JM?matt_tool=42084218&amp;matt_word=&amp;matt_source=google&amp;matt_campaign_id=23547382064&amp;matt_ad_group_id=198736076811&amp;matt_match_type=&amp;matt_network=g&amp;matt_device=c&amp;matt_creative=796800778046&amp;matt_keyword=&amp;matt_ad_position=&amp;matt_ad_type=pla&amp;matt_merchant_id=5739952429&amp;matt_product_id=MCO1847545845&amp;matt_product_partition_id=2453251494616&amp;matt_target_id=pla-2453251494616&amp;cq_src=google_ads&amp;cq_cmp=23547382064&amp;cq_net=g&amp;cq_plt=gp&amp;cq_med=pla&amp;gad_source=4&amp;gad_campaignid=23547382064&amp;gclid=Cj0KCQjwsdnNBhC4ARIsAA_3hejpAFAgMl4XBcZ6WfOBZNZvubx28-LxlpLM-WKHnDQgsux4GHLFQx0aAi5VEALw_wcB" TargetMode="External"/><Relationship Id="rId1" Type="http://schemas.openxmlformats.org/officeDocument/2006/relationships/hyperlink" Target="https://www.eneba.com/es/microsoft-windows-microsoft-windows-11-professional-key-global/frosty-entertainment?product=digital&amp;currency=COP&amp;utm_adid=&amp;utm_campaign=&amp;utm_content=&amp;utm_source=google-ads&amp;utm_term=&amp;gad_source=4&amp;gad_campaignid=19499769054&amp;gclid=Cj0KCQjwsdnNBhC4ARIsAA_3hehjcBU4WTYWr1WNUvm-Xi6Q28fzcJ5STRRdAFmQ4Rztb-NgqE8ChboaAkvfEALw_wcB"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digitalocean.com/pricing" TargetMode="External"/><Relationship Id="rId13" Type="http://schemas.openxmlformats.org/officeDocument/2006/relationships/hyperlink" Target="https://www.digitalocean.com/pricing/app-platform" TargetMode="External"/><Relationship Id="rId18" Type="http://schemas.openxmlformats.org/officeDocument/2006/relationships/hyperlink" Target="https://vercel.com/pricing" TargetMode="External"/><Relationship Id="rId3" Type="http://schemas.openxmlformats.org/officeDocument/2006/relationships/hyperlink" Target="https://cloud.google.com/appengine/pricing?hl=es" TargetMode="External"/><Relationship Id="rId21" Type="http://schemas.openxmlformats.org/officeDocument/2006/relationships/hyperlink" Target="https://appwrite.io/pricing" TargetMode="External"/><Relationship Id="rId7" Type="http://schemas.openxmlformats.org/officeDocument/2006/relationships/hyperlink" Target="https://aws.amazon.com/es/ec2/pricing/" TargetMode="External"/><Relationship Id="rId12" Type="http://schemas.openxmlformats.org/officeDocument/2006/relationships/hyperlink" Target="https://www.salesforce.com/eu/small-business/pricing/" TargetMode="External"/><Relationship Id="rId17" Type="http://schemas.openxmlformats.org/officeDocument/2006/relationships/hyperlink" Target="https://cloud.google.com/pricing?hl=es" TargetMode="External"/><Relationship Id="rId2" Type="http://schemas.openxmlformats.org/officeDocument/2006/relationships/hyperlink" Target="https://azure.microsoft.com/es-es/pricing/details/app-service/linux/" TargetMode="External"/><Relationship Id="rId16" Type="http://schemas.openxmlformats.org/officeDocument/2006/relationships/hyperlink" Target="https://workers.cloudflare.com/es-es/pricing" TargetMode="External"/><Relationship Id="rId20" Type="http://schemas.openxmlformats.org/officeDocument/2006/relationships/hyperlink" Target="https://firebase.google.com/pricing?hl=es-419" TargetMode="External"/><Relationship Id="rId1" Type="http://schemas.openxmlformats.org/officeDocument/2006/relationships/hyperlink" Target="https://www.heroku.com/pricing/" TargetMode="External"/><Relationship Id="rId6" Type="http://schemas.openxmlformats.org/officeDocument/2006/relationships/hyperlink" Target="https://www.oracle.com/autonomous-database/pricing/?source=:ow:o:p:mt:::ODBHeader_latam" TargetMode="External"/><Relationship Id="rId11" Type="http://schemas.openxmlformats.org/officeDocument/2006/relationships/hyperlink" Target="https://www.microsoft.com/es-co/microsoft-365/business/microsoft-365-plans-and-pricing" TargetMode="External"/><Relationship Id="rId24" Type="http://schemas.openxmlformats.org/officeDocument/2006/relationships/hyperlink" Target="https://cloud.google.com/looker?hl=es" TargetMode="External"/><Relationship Id="rId5" Type="http://schemas.openxmlformats.org/officeDocument/2006/relationships/hyperlink" Target="https://www.mongodb.com/pricing" TargetMode="External"/><Relationship Id="rId15" Type="http://schemas.openxmlformats.org/officeDocument/2006/relationships/hyperlink" Target="https://azure.microsoft.com/es-es/pricing/details/openshift/" TargetMode="External"/><Relationship Id="rId23" Type="http://schemas.openxmlformats.org/officeDocument/2006/relationships/hyperlink" Target="https://www.microsoft.com/es-es/power-platform/products/power-bi/pricing" TargetMode="External"/><Relationship Id="rId10" Type="http://schemas.openxmlformats.org/officeDocument/2006/relationships/hyperlink" Target="https://www.zoho.com/es-xl/crm/zohocrm-pricing.html" TargetMode="External"/><Relationship Id="rId19" Type="http://schemas.openxmlformats.org/officeDocument/2006/relationships/hyperlink" Target="https://supabase.com/pricing" TargetMode="External"/><Relationship Id="rId4" Type="http://schemas.openxmlformats.org/officeDocument/2006/relationships/hyperlink" Target="https://devcenter.heroku.com/articles/heroku-postgres-plans" TargetMode="External"/><Relationship Id="rId9" Type="http://schemas.openxmlformats.org/officeDocument/2006/relationships/hyperlink" Target="https://www.akamai.com/cloud/pricing" TargetMode="External"/><Relationship Id="rId14" Type="http://schemas.openxmlformats.org/officeDocument/2006/relationships/hyperlink" Target="https://aws.amazon.com/es/fargate/pricing/" TargetMode="External"/><Relationship Id="rId22" Type="http://schemas.openxmlformats.org/officeDocument/2006/relationships/hyperlink" Target="https://www.tableau.com/pricing"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tradeinn.com/techinn/es/dell-monitor-p2425h-24-full-hd-ips-led/141591717/p?utm_source=google_products&amp;utm_medium=merchant&amp;id_producte=145914088&amp;country=co&amp;srsltid=AfmBOoq59ihBPTQ3wr_9A_p4oI9BkXEdaIowdzpXNJrru8jmtXzCMWovH7Q" TargetMode="External"/><Relationship Id="rId3" Type="http://schemas.openxmlformats.org/officeDocument/2006/relationships/hyperlink" Target="https://www.exito.com/memoria-ram-portatil-16gb-ddr5-adata-4800-mts-102561351-mp/p?idsku=102561351&amp;srsltid=AfmBOorr8ZTnvWbBCaj0tAL00_P6AQF-hL5xw-v_nvKFt9ZzNkHoYYIcH_w" TargetMode="External"/><Relationship Id="rId7" Type="http://schemas.openxmlformats.org/officeDocument/2006/relationships/hyperlink" Target="https://www.falabella.com.co/falabella-co/product/145587591/Monitor-Dell-P2425H-238%E2%80%9D-FHD/145587592" TargetMode="External"/><Relationship Id="rId12" Type="http://schemas.openxmlformats.org/officeDocument/2006/relationships/hyperlink" Target="https://dortania.github.io/OpenCore-Install-Guide/" TargetMode="External"/><Relationship Id="rId2" Type="http://schemas.openxmlformats.org/officeDocument/2006/relationships/hyperlink" Target="https://www.falabella.com.co/falabella-co/product/132167823/Memoria-Ram-Adata-Para-Portatil-O-Aio-16gb-Ddr5-4800-MHz/132167824" TargetMode="External"/><Relationship Id="rId1" Type="http://schemas.openxmlformats.org/officeDocument/2006/relationships/hyperlink" Target="https://www.mercadolibre.com.co/memoria-adata-ram-portatil-ddr5-16gb-bus-4800/up/MCOU2483034876" TargetMode="External"/><Relationship Id="rId6" Type="http://schemas.openxmlformats.org/officeDocument/2006/relationships/hyperlink" Target="https://tauretcomputadores.com/product/unidad-solida-m-2-kingston-nv3-1tb-6000-4000-mb-s?srsltid=AfmBOooKSuqOd7u7kDn6eP2LCB8eqFAiI1_i9eXS-EBYD--6VKm_bX5Gy4s" TargetMode="External"/><Relationship Id="rId11" Type="http://schemas.openxmlformats.org/officeDocument/2006/relationships/hyperlink" Target="https://tulicencias.com/product/windows-11-pro/?currency=COP&amp;utm_id=22950947926&amp;utm_source=google&amp;utm_medium=cpc&amp;utm_device=c&amp;lmx_id=CjwKCAjw-dfOBhAjEiwAq0RwI0WgJOl0Rlvw71dLiyZ-xRqfWjb9HuUaeuQeopdPt2REk4CMary0ixoCetcQAvD_BwE&amp;gad_source=4&amp;gad_campaignid=22950947926&amp;gbraid=0AAAAA9_hf_CTKFfHusDLVYsOW3lLFbsAE&amp;gclid=CjwKCAjw-dfOBhAjEiwAq0RwI0WgJOl0Rlvw71dLiyZ-xRqfWjb9HuUaeuQeopdPt2REk4CMary0ixoCetcQAvD_BwE" TargetMode="External"/><Relationship Id="rId5" Type="http://schemas.openxmlformats.org/officeDocument/2006/relationships/hyperlink" Target="https://www.mercadolibre.com.co/unidad-de-estado-solido-ssd-m2-500gb-kingston-nv2-pcie-40-nvme-snv2s500g/p/MCO19807863" TargetMode="External"/><Relationship Id="rId10" Type="http://schemas.openxmlformats.org/officeDocument/2006/relationships/hyperlink" Target="https://ubuntu.com/download/desktop" TargetMode="External"/><Relationship Id="rId4" Type="http://schemas.openxmlformats.org/officeDocument/2006/relationships/hyperlink" Target="https://www.ebay.com/itm/186815652287?chn=ps&amp;mkevt=1&amp;mkcid=28&amp;google_free_listing_action=view_item" TargetMode="External"/><Relationship Id="rId9" Type="http://schemas.openxmlformats.org/officeDocument/2006/relationships/hyperlink" Target="https://www.ubuy.com.co/sp/product/JTHJBDDGC-dell-24-monitor-p2425h?srsltid=AfmBOopqkau0MyL3b1xUS6vadRNiAiL_Uxcai4VxeVCon1Pqb2_eyUoM_h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9"/>
  <sheetViews>
    <sheetView workbookViewId="0">
      <selection activeCell="E8" sqref="E8"/>
    </sheetView>
  </sheetViews>
  <sheetFormatPr baseColWidth="10" defaultColWidth="12.6640625" defaultRowHeight="15" customHeight="1"/>
  <cols>
    <col min="1" max="1" width="2.88671875" customWidth="1"/>
    <col min="2" max="14" width="14.77734375" customWidth="1"/>
  </cols>
  <sheetData>
    <row r="1" spans="1:14" ht="13.2">
      <c r="A1" s="1"/>
      <c r="B1" s="1"/>
      <c r="C1" s="1"/>
      <c r="D1" s="1"/>
      <c r="E1" s="1"/>
      <c r="F1" s="1"/>
      <c r="G1" s="1"/>
      <c r="H1" s="1"/>
      <c r="I1" s="1"/>
      <c r="J1" s="1"/>
      <c r="K1" s="1"/>
      <c r="L1" s="1"/>
      <c r="M1" s="1"/>
      <c r="N1" s="1"/>
    </row>
    <row r="2" spans="1:14" ht="13.2">
      <c r="A2" s="1"/>
      <c r="B2" s="2"/>
      <c r="C2" s="2"/>
      <c r="D2" s="2"/>
      <c r="E2" s="2"/>
      <c r="F2" s="2"/>
      <c r="G2" s="2"/>
      <c r="H2" s="2"/>
      <c r="I2" s="2"/>
      <c r="J2" s="2"/>
      <c r="K2" s="2"/>
      <c r="L2" s="2"/>
      <c r="M2" s="2"/>
      <c r="N2" s="2"/>
    </row>
    <row r="3" spans="1:14" ht="13.2">
      <c r="A3" s="1"/>
      <c r="B3" s="2"/>
      <c r="C3" s="2"/>
      <c r="D3" s="2"/>
      <c r="E3" s="2"/>
      <c r="F3" s="2"/>
      <c r="G3" s="2"/>
      <c r="H3" s="2"/>
      <c r="I3" s="2"/>
      <c r="J3" s="2"/>
      <c r="K3" s="2"/>
      <c r="L3" s="2"/>
      <c r="M3" s="2"/>
      <c r="N3" s="2"/>
    </row>
    <row r="4" spans="1:14" ht="36" customHeight="1">
      <c r="A4" s="1"/>
      <c r="B4" s="284" t="s">
        <v>0</v>
      </c>
      <c r="C4" s="285"/>
      <c r="D4" s="285"/>
      <c r="E4" s="285"/>
      <c r="F4" s="285"/>
      <c r="G4" s="285"/>
      <c r="H4" s="285"/>
      <c r="I4" s="285"/>
      <c r="J4" s="285"/>
      <c r="K4" s="285"/>
      <c r="L4" s="285"/>
      <c r="M4" s="286"/>
      <c r="N4" s="2"/>
    </row>
    <row r="5" spans="1:14" ht="13.2">
      <c r="A5" s="1"/>
      <c r="B5" s="2"/>
      <c r="C5" s="2"/>
      <c r="D5" s="2"/>
      <c r="E5" s="2"/>
      <c r="F5" s="2"/>
      <c r="G5" s="2"/>
      <c r="H5" s="2"/>
      <c r="I5" s="2"/>
      <c r="J5" s="2"/>
      <c r="K5" s="2"/>
      <c r="L5" s="2"/>
      <c r="M5" s="2"/>
      <c r="N5" s="2"/>
    </row>
    <row r="6" spans="1:14" ht="13.2">
      <c r="A6" s="1"/>
      <c r="B6" s="2"/>
      <c r="C6" s="2"/>
      <c r="D6" s="2"/>
      <c r="E6" s="2"/>
      <c r="F6" s="2"/>
      <c r="G6" s="2"/>
      <c r="H6" s="2"/>
      <c r="I6" s="2"/>
      <c r="J6" s="2"/>
      <c r="K6" s="2"/>
      <c r="L6" s="2"/>
      <c r="M6" s="2"/>
      <c r="N6" s="2"/>
    </row>
    <row r="7" spans="1:14" ht="15" customHeight="1">
      <c r="A7" s="1"/>
      <c r="B7" s="2"/>
      <c r="C7" s="3"/>
      <c r="D7" s="3"/>
      <c r="E7" s="3"/>
      <c r="F7" s="3"/>
      <c r="G7" s="3"/>
      <c r="H7" s="2"/>
      <c r="I7" s="2"/>
      <c r="J7" s="2"/>
      <c r="K7" s="2"/>
      <c r="L7" s="2"/>
      <c r="M7" s="2"/>
      <c r="N7" s="2"/>
    </row>
    <row r="8" spans="1:14" ht="41.25" customHeight="1">
      <c r="A8" s="1"/>
      <c r="B8" s="2"/>
      <c r="C8" s="4" t="s">
        <v>1</v>
      </c>
      <c r="D8" s="3"/>
      <c r="E8" s="3" t="s">
        <v>564</v>
      </c>
      <c r="F8" s="3"/>
      <c r="G8" s="3"/>
      <c r="H8" s="2"/>
      <c r="I8" s="2"/>
      <c r="J8" s="2"/>
      <c r="K8" s="2"/>
      <c r="L8" s="2"/>
      <c r="M8" s="2"/>
      <c r="N8" s="2"/>
    </row>
    <row r="9" spans="1:14" ht="27.75" customHeight="1">
      <c r="A9" s="1"/>
      <c r="B9" s="2"/>
      <c r="C9" s="3"/>
      <c r="D9" s="3"/>
      <c r="E9" s="3"/>
      <c r="F9" s="3"/>
      <c r="G9" s="3"/>
      <c r="H9" s="2"/>
      <c r="I9" s="2"/>
      <c r="J9" s="2"/>
      <c r="K9" s="2"/>
      <c r="L9" s="2"/>
      <c r="M9" s="2"/>
      <c r="N9" s="2"/>
    </row>
    <row r="10" spans="1:14" ht="32.25" customHeight="1">
      <c r="A10" s="1"/>
      <c r="B10" s="2"/>
      <c r="C10" s="4" t="s">
        <v>2</v>
      </c>
      <c r="D10" s="4"/>
      <c r="E10" s="3"/>
      <c r="F10" s="3"/>
      <c r="G10" s="3"/>
      <c r="H10" s="2"/>
      <c r="I10" s="2"/>
      <c r="J10" s="2"/>
      <c r="K10" s="2"/>
      <c r="L10" s="2"/>
      <c r="M10" s="2"/>
      <c r="N10" s="2"/>
    </row>
    <row r="11" spans="1:14" ht="15" customHeight="1">
      <c r="A11" s="1"/>
      <c r="B11" s="2"/>
      <c r="C11" s="2"/>
      <c r="D11" s="2"/>
      <c r="E11" s="2"/>
      <c r="F11" s="5"/>
      <c r="G11" s="2"/>
      <c r="H11" s="2"/>
      <c r="I11" s="2"/>
      <c r="J11" s="2"/>
      <c r="K11" s="2"/>
      <c r="L11" s="2"/>
      <c r="M11" s="2"/>
      <c r="N11" s="2"/>
    </row>
    <row r="12" spans="1:14" ht="34.5" customHeight="1">
      <c r="A12" s="1"/>
      <c r="B12" s="2"/>
      <c r="C12" s="2"/>
      <c r="D12" s="2"/>
      <c r="E12" s="2"/>
      <c r="F12" s="4"/>
      <c r="G12" s="2"/>
      <c r="H12" s="2"/>
      <c r="I12" s="2"/>
      <c r="J12" s="2"/>
      <c r="K12" s="2"/>
      <c r="L12" s="2"/>
      <c r="M12" s="2"/>
      <c r="N12" s="2"/>
    </row>
    <row r="13" spans="1:14" ht="22.5" customHeight="1">
      <c r="A13" s="1"/>
      <c r="B13" s="2"/>
      <c r="C13" s="2"/>
      <c r="D13" s="2"/>
      <c r="E13" s="2"/>
      <c r="F13" s="6" t="s">
        <v>3</v>
      </c>
      <c r="G13" s="2"/>
      <c r="H13" s="2"/>
      <c r="I13" s="2"/>
      <c r="J13" s="2"/>
      <c r="K13" s="2"/>
      <c r="L13" s="2"/>
      <c r="M13" s="2"/>
      <c r="N13" s="2"/>
    </row>
    <row r="14" spans="1:14" ht="15" customHeight="1">
      <c r="A14" s="1"/>
      <c r="B14" s="2"/>
      <c r="C14" s="2"/>
      <c r="D14" s="2"/>
      <c r="E14" s="2"/>
      <c r="F14" s="7"/>
      <c r="G14" s="2"/>
      <c r="H14" s="2"/>
      <c r="I14" s="2"/>
      <c r="J14" s="2"/>
      <c r="K14" s="2"/>
      <c r="L14" s="2"/>
      <c r="M14" s="2"/>
      <c r="N14" s="2"/>
    </row>
    <row r="15" spans="1:14" ht="15" customHeight="1">
      <c r="A15" s="1"/>
      <c r="B15" s="2"/>
      <c r="C15" s="2"/>
      <c r="D15" s="2"/>
      <c r="E15" s="2"/>
      <c r="F15" s="7"/>
      <c r="G15" s="2"/>
      <c r="H15" s="2"/>
      <c r="I15" s="2"/>
      <c r="J15" s="2"/>
      <c r="K15" s="2"/>
      <c r="L15" s="2"/>
      <c r="M15" s="2"/>
      <c r="N15" s="2"/>
    </row>
    <row r="16" spans="1:14" ht="13.2">
      <c r="A16" s="1"/>
      <c r="B16" s="2"/>
      <c r="C16" s="2"/>
      <c r="D16" s="2"/>
      <c r="E16" s="2"/>
      <c r="F16" s="2"/>
      <c r="G16" s="2"/>
      <c r="H16" s="2"/>
      <c r="I16" s="2"/>
      <c r="J16" s="2"/>
      <c r="K16" s="2"/>
      <c r="L16" s="2"/>
      <c r="M16" s="2"/>
      <c r="N16" s="2"/>
    </row>
    <row r="17" spans="1:14" ht="13.2">
      <c r="A17" s="1"/>
      <c r="B17" s="2"/>
      <c r="C17" s="2"/>
      <c r="D17" s="2"/>
      <c r="E17" s="2"/>
      <c r="F17" s="2"/>
      <c r="G17" s="2"/>
      <c r="H17" s="2"/>
      <c r="I17" s="2"/>
      <c r="J17" s="2"/>
      <c r="K17" s="2"/>
      <c r="L17" s="2"/>
      <c r="M17" s="2"/>
      <c r="N17" s="2"/>
    </row>
    <row r="18" spans="1:14" ht="13.2">
      <c r="A18" s="1"/>
      <c r="B18" s="2"/>
      <c r="C18" s="2"/>
      <c r="D18" s="2"/>
      <c r="E18" s="2"/>
      <c r="F18" s="2"/>
      <c r="G18" s="2"/>
      <c r="H18" s="2"/>
      <c r="I18" s="2"/>
      <c r="J18" s="2"/>
      <c r="K18" s="2"/>
      <c r="L18" s="2"/>
      <c r="M18" s="2"/>
      <c r="N18" s="2"/>
    </row>
    <row r="19" spans="1:14" ht="13.2">
      <c r="A19" s="1"/>
      <c r="B19" s="2"/>
      <c r="C19" s="2"/>
      <c r="D19" s="2"/>
      <c r="E19" s="2"/>
      <c r="F19" s="2"/>
      <c r="G19" s="2"/>
      <c r="H19" s="2"/>
      <c r="I19" s="2"/>
      <c r="J19" s="2"/>
      <c r="K19" s="2"/>
      <c r="L19" s="2"/>
      <c r="M19" s="2"/>
      <c r="N19" s="2"/>
    </row>
  </sheetData>
  <mergeCells count="1">
    <mergeCell ref="B4:M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opLeftCell="B7" workbookViewId="0">
      <selection activeCell="E8" sqref="E8"/>
    </sheetView>
  </sheetViews>
  <sheetFormatPr baseColWidth="10" defaultColWidth="12.6640625" defaultRowHeight="15" customHeight="1"/>
  <cols>
    <col min="1" max="2" width="19.109375" customWidth="1"/>
    <col min="3" max="3" width="22.88671875" customWidth="1"/>
    <col min="4" max="4" width="34.5546875" customWidth="1"/>
    <col min="5" max="6" width="17" customWidth="1"/>
    <col min="7" max="7" width="18" customWidth="1"/>
    <col min="8" max="8" width="17" customWidth="1"/>
    <col min="9" max="10" width="19.109375" customWidth="1"/>
    <col min="11" max="11" width="58.33203125" customWidth="1"/>
    <col min="12" max="27" width="10" customWidth="1"/>
  </cols>
  <sheetData>
    <row r="1" spans="1:27" ht="12.75" customHeight="1">
      <c r="A1" s="8"/>
    </row>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10" t="s">
        <v>7</v>
      </c>
      <c r="C7" s="10" t="s">
        <v>8</v>
      </c>
      <c r="D7" s="10" t="s">
        <v>9</v>
      </c>
      <c r="E7" s="10" t="s">
        <v>10</v>
      </c>
      <c r="F7" s="11" t="s">
        <v>11</v>
      </c>
      <c r="G7" s="12" t="s">
        <v>12</v>
      </c>
      <c r="H7" s="10" t="s">
        <v>13</v>
      </c>
      <c r="I7" s="10" t="s">
        <v>14</v>
      </c>
      <c r="J7" s="10" t="s">
        <v>15</v>
      </c>
      <c r="K7" s="10" t="s">
        <v>16</v>
      </c>
      <c r="L7" s="13"/>
      <c r="M7" s="13"/>
      <c r="N7" s="13"/>
      <c r="O7" s="13"/>
      <c r="P7" s="13"/>
      <c r="Q7" s="13"/>
      <c r="R7" s="13"/>
      <c r="S7" s="13"/>
      <c r="T7" s="13"/>
      <c r="U7" s="13"/>
      <c r="V7" s="13"/>
      <c r="W7" s="13"/>
      <c r="X7" s="13"/>
      <c r="Y7" s="13"/>
      <c r="Z7" s="13"/>
      <c r="AA7" s="13"/>
    </row>
    <row r="8" spans="1:27" ht="80.400000000000006" customHeight="1">
      <c r="A8" s="14" t="s">
        <v>17</v>
      </c>
      <c r="B8" s="234" t="s">
        <v>92</v>
      </c>
      <c r="C8" s="233" t="s">
        <v>566</v>
      </c>
      <c r="D8" s="232" t="s">
        <v>565</v>
      </c>
      <c r="E8" s="18">
        <v>2499070</v>
      </c>
      <c r="F8" s="19">
        <v>2749000</v>
      </c>
      <c r="G8" s="20" t="s">
        <v>19</v>
      </c>
      <c r="H8" s="21">
        <v>3685.53</v>
      </c>
      <c r="I8" s="22" t="s">
        <v>20</v>
      </c>
      <c r="J8" s="23" t="s">
        <v>21</v>
      </c>
      <c r="K8" s="24" t="s">
        <v>22</v>
      </c>
    </row>
    <row r="9" spans="1:27" ht="50.25" customHeight="1">
      <c r="A9" s="14" t="s">
        <v>23</v>
      </c>
      <c r="B9" s="25" t="s">
        <v>24</v>
      </c>
      <c r="C9" s="26" t="s">
        <v>25</v>
      </c>
      <c r="D9" s="17" t="s">
        <v>567</v>
      </c>
      <c r="E9" s="18">
        <v>1415462.18</v>
      </c>
      <c r="F9" s="18">
        <v>1684400</v>
      </c>
      <c r="G9" s="20" t="s">
        <v>26</v>
      </c>
      <c r="H9" s="21">
        <v>3685.53</v>
      </c>
      <c r="I9" s="22" t="s">
        <v>20</v>
      </c>
      <c r="J9" s="23" t="s">
        <v>21</v>
      </c>
      <c r="K9" s="27" t="s">
        <v>27</v>
      </c>
    </row>
    <row r="10" spans="1:27" ht="50.25" customHeight="1">
      <c r="A10" s="14" t="s">
        <v>28</v>
      </c>
      <c r="B10" s="15" t="s">
        <v>29</v>
      </c>
      <c r="C10" s="16" t="s">
        <v>30</v>
      </c>
      <c r="D10" s="17" t="s">
        <v>32</v>
      </c>
      <c r="E10" s="18">
        <v>1406092.44</v>
      </c>
      <c r="F10" s="18">
        <v>1673250</v>
      </c>
      <c r="G10" s="20" t="s">
        <v>31</v>
      </c>
      <c r="H10" s="21">
        <v>3685.53</v>
      </c>
      <c r="I10" s="22" t="s">
        <v>20</v>
      </c>
      <c r="J10" s="23" t="s">
        <v>21</v>
      </c>
      <c r="K10" s="28" t="s">
        <v>32</v>
      </c>
    </row>
    <row r="11" spans="1:27" ht="15" hidden="1" customHeight="1">
      <c r="A11" s="29"/>
      <c r="B11" s="30"/>
      <c r="C11" s="30"/>
      <c r="D11" s="30"/>
      <c r="E11" s="30"/>
      <c r="F11" s="30"/>
      <c r="G11" s="30"/>
      <c r="H11" s="30"/>
      <c r="I11" s="30"/>
      <c r="J11" s="30"/>
      <c r="K11" s="30"/>
    </row>
    <row r="12" spans="1:27" ht="12.75" customHeight="1"/>
    <row r="13" spans="1:27" ht="138.75" customHeight="1">
      <c r="A13" s="292" t="s">
        <v>33</v>
      </c>
      <c r="B13" s="290"/>
      <c r="C13" s="290"/>
      <c r="D13" s="290"/>
      <c r="E13" s="290"/>
      <c r="F13" s="290"/>
      <c r="G13" s="290"/>
      <c r="H13" s="290"/>
      <c r="I13" s="290"/>
      <c r="J13" s="290"/>
      <c r="K13" s="291"/>
    </row>
    <row r="14" spans="1:27" ht="12.75" customHeight="1"/>
    <row r="15" spans="1:27" ht="75" customHeight="1">
      <c r="A15" s="292" t="s">
        <v>34</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100-000000000000}"/>
    <hyperlink ref="C9" r:id="rId2" xr:uid="{00000000-0004-0000-0100-000001000000}"/>
    <hyperlink ref="C10" r:id="rId3" xr:uid="{00000000-0004-0000-0100-000002000000}"/>
  </hyperlinks>
  <pageMargins left="0.7" right="0.7" top="0.75" bottom="0.75" header="0" footer="0"/>
  <pageSetup orientation="landscape"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1" width="19.1093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35</v>
      </c>
      <c r="C7" s="32" t="s">
        <v>36</v>
      </c>
      <c r="D7" s="32" t="s">
        <v>37</v>
      </c>
      <c r="E7" s="32" t="s">
        <v>38</v>
      </c>
      <c r="F7" s="33" t="s">
        <v>39</v>
      </c>
      <c r="G7" s="34" t="s">
        <v>40</v>
      </c>
      <c r="H7" s="32" t="s">
        <v>13</v>
      </c>
      <c r="I7" s="32" t="s">
        <v>41</v>
      </c>
      <c r="J7" s="32" t="s">
        <v>15</v>
      </c>
      <c r="K7" s="32" t="s">
        <v>42</v>
      </c>
      <c r="L7" s="13"/>
      <c r="M7" s="13"/>
      <c r="N7" s="13"/>
      <c r="O7" s="13"/>
      <c r="P7" s="13"/>
      <c r="Q7" s="13"/>
      <c r="R7" s="13"/>
      <c r="S7" s="13"/>
      <c r="T7" s="13"/>
      <c r="U7" s="13"/>
      <c r="V7" s="13"/>
      <c r="W7" s="13"/>
      <c r="X7" s="13"/>
      <c r="Y7" s="13"/>
      <c r="Z7" s="13"/>
      <c r="AA7" s="13"/>
    </row>
    <row r="8" spans="1:27" ht="50.25" customHeight="1">
      <c r="A8" s="35" t="s">
        <v>17</v>
      </c>
      <c r="B8" s="36" t="s">
        <v>24</v>
      </c>
      <c r="C8" s="26" t="s">
        <v>43</v>
      </c>
      <c r="D8" s="37" t="s">
        <v>44</v>
      </c>
      <c r="E8" s="38">
        <v>503361.34</v>
      </c>
      <c r="F8" s="38">
        <v>599000</v>
      </c>
      <c r="G8" s="39" t="s">
        <v>45</v>
      </c>
      <c r="H8" s="40">
        <v>3685.53</v>
      </c>
      <c r="I8" s="36" t="s">
        <v>20</v>
      </c>
      <c r="J8" s="36" t="s">
        <v>21</v>
      </c>
      <c r="K8" s="17" t="s">
        <v>46</v>
      </c>
    </row>
    <row r="9" spans="1:27" ht="50.25" customHeight="1">
      <c r="A9" s="35" t="s">
        <v>23</v>
      </c>
      <c r="B9" s="37" t="s">
        <v>29</v>
      </c>
      <c r="C9" s="26" t="s">
        <v>47</v>
      </c>
      <c r="D9" s="37" t="s">
        <v>44</v>
      </c>
      <c r="E9" s="41">
        <v>526890.76</v>
      </c>
      <c r="F9" s="38">
        <v>627000</v>
      </c>
      <c r="G9" s="39" t="s">
        <v>48</v>
      </c>
      <c r="H9" s="40">
        <v>3685.53</v>
      </c>
      <c r="I9" s="36" t="s">
        <v>20</v>
      </c>
      <c r="J9" s="36" t="s">
        <v>49</v>
      </c>
      <c r="K9" s="17" t="s">
        <v>50</v>
      </c>
    </row>
    <row r="10" spans="1:27" ht="50.25" customHeight="1">
      <c r="A10" s="35" t="s">
        <v>28</v>
      </c>
      <c r="B10" s="36" t="s">
        <v>51</v>
      </c>
      <c r="C10" s="26" t="s">
        <v>52</v>
      </c>
      <c r="D10" s="37" t="s">
        <v>44</v>
      </c>
      <c r="E10" s="41">
        <v>453697.48</v>
      </c>
      <c r="F10" s="38">
        <v>539900</v>
      </c>
      <c r="G10" s="39" t="s">
        <v>53</v>
      </c>
      <c r="H10" s="40">
        <v>3685.53</v>
      </c>
      <c r="I10" s="36" t="s">
        <v>20</v>
      </c>
      <c r="J10" s="36" t="s">
        <v>54</v>
      </c>
      <c r="K10" s="17" t="s">
        <v>55</v>
      </c>
    </row>
    <row r="11" spans="1:27" ht="15" hidden="1" customHeight="1">
      <c r="A11" s="29"/>
      <c r="B11" s="42"/>
      <c r="C11" s="42"/>
      <c r="D11" s="42"/>
      <c r="E11" s="42"/>
      <c r="F11" s="42"/>
      <c r="G11" s="42"/>
      <c r="H11" s="42"/>
      <c r="I11" s="36" t="s">
        <v>20</v>
      </c>
      <c r="J11" s="43"/>
      <c r="K11" s="42"/>
    </row>
    <row r="12" spans="1:27" ht="12.75" customHeight="1">
      <c r="I12" s="36"/>
      <c r="J12" s="44"/>
    </row>
    <row r="13" spans="1:27" ht="138.75" customHeight="1">
      <c r="A13" s="292" t="s">
        <v>56</v>
      </c>
      <c r="B13" s="290"/>
      <c r="C13" s="290"/>
      <c r="D13" s="290"/>
      <c r="E13" s="290"/>
      <c r="F13" s="290"/>
      <c r="G13" s="290"/>
      <c r="H13" s="290"/>
      <c r="I13" s="290"/>
      <c r="J13" s="290"/>
      <c r="K13" s="291"/>
    </row>
    <row r="14" spans="1:27" ht="12.75" customHeight="1"/>
    <row r="15" spans="1:27" ht="75" customHeight="1">
      <c r="A15" s="292" t="s">
        <v>57</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200-000000000000}"/>
    <hyperlink ref="C9" r:id="rId2" xr:uid="{00000000-0004-0000-0200-000001000000}"/>
    <hyperlink ref="C10" r:id="rId3" xr:uid="{00000000-0004-0000-0200-000002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topLeftCell="A2"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11" width="55.886718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79</v>
      </c>
      <c r="C7" s="32" t="s">
        <v>80</v>
      </c>
      <c r="D7" s="32" t="s">
        <v>81</v>
      </c>
      <c r="E7" s="32" t="s">
        <v>82</v>
      </c>
      <c r="F7" s="33" t="s">
        <v>83</v>
      </c>
      <c r="G7" s="34" t="s">
        <v>84</v>
      </c>
      <c r="H7" s="32" t="s">
        <v>13</v>
      </c>
      <c r="I7" s="32" t="s">
        <v>85</v>
      </c>
      <c r="J7" s="32" t="s">
        <v>15</v>
      </c>
      <c r="K7" s="32" t="s">
        <v>86</v>
      </c>
      <c r="L7" s="13"/>
      <c r="M7" s="13"/>
      <c r="N7" s="13"/>
      <c r="O7" s="13"/>
      <c r="P7" s="13"/>
      <c r="Q7" s="13"/>
      <c r="R7" s="13"/>
      <c r="S7" s="13"/>
      <c r="T7" s="13"/>
      <c r="U7" s="13"/>
      <c r="V7" s="13"/>
      <c r="W7" s="13"/>
      <c r="X7" s="13"/>
      <c r="Y7" s="13"/>
      <c r="Z7" s="13"/>
      <c r="AA7" s="13"/>
    </row>
    <row r="8" spans="1:27" ht="50.25" customHeight="1">
      <c r="A8" s="35" t="s">
        <v>17</v>
      </c>
      <c r="B8" s="36" t="s">
        <v>29</v>
      </c>
      <c r="C8" s="26" t="s">
        <v>87</v>
      </c>
      <c r="D8" s="36" t="s">
        <v>88</v>
      </c>
      <c r="E8" s="41">
        <v>41332.769999999997</v>
      </c>
      <c r="F8" s="38">
        <v>49186</v>
      </c>
      <c r="G8" s="39" t="s">
        <v>89</v>
      </c>
      <c r="H8" s="50">
        <v>3685.53</v>
      </c>
      <c r="I8" s="51" t="s">
        <v>20</v>
      </c>
      <c r="J8" s="52" t="s">
        <v>90</v>
      </c>
      <c r="K8" s="53" t="s">
        <v>91</v>
      </c>
    </row>
    <row r="9" spans="1:27" ht="50.25" customHeight="1">
      <c r="A9" s="35" t="s">
        <v>23</v>
      </c>
      <c r="B9" s="37" t="s">
        <v>92</v>
      </c>
      <c r="C9" s="26" t="s">
        <v>93</v>
      </c>
      <c r="D9" s="36" t="s">
        <v>88</v>
      </c>
      <c r="E9" s="38">
        <v>419327.73</v>
      </c>
      <c r="F9" s="38">
        <v>499000</v>
      </c>
      <c r="G9" s="39" t="s">
        <v>94</v>
      </c>
      <c r="H9" s="50">
        <v>3685.53</v>
      </c>
      <c r="I9" s="51" t="s">
        <v>20</v>
      </c>
      <c r="J9" s="52" t="s">
        <v>54</v>
      </c>
      <c r="K9" s="54" t="s">
        <v>95</v>
      </c>
    </row>
    <row r="10" spans="1:27" ht="50.25" customHeight="1">
      <c r="A10" s="35" t="s">
        <v>28</v>
      </c>
      <c r="B10" s="36" t="s">
        <v>96</v>
      </c>
      <c r="C10" s="26" t="s">
        <v>97</v>
      </c>
      <c r="D10" s="36" t="s">
        <v>88</v>
      </c>
      <c r="E10" s="41">
        <v>294033.61</v>
      </c>
      <c r="F10" s="38">
        <v>349000</v>
      </c>
      <c r="G10" s="39" t="s">
        <v>75</v>
      </c>
      <c r="H10" s="50">
        <v>3685.53</v>
      </c>
      <c r="I10" s="51" t="s">
        <v>20</v>
      </c>
      <c r="J10" s="52" t="s">
        <v>54</v>
      </c>
      <c r="K10" s="53" t="s">
        <v>98</v>
      </c>
    </row>
    <row r="11" spans="1:27" ht="15" hidden="1" customHeight="1">
      <c r="A11" s="29"/>
      <c r="B11" s="42"/>
      <c r="C11" s="42"/>
      <c r="D11" s="36" t="s">
        <v>88</v>
      </c>
      <c r="E11" s="42"/>
      <c r="F11" s="42"/>
      <c r="G11" s="42"/>
      <c r="H11" s="42"/>
      <c r="I11" s="51" t="s">
        <v>20</v>
      </c>
      <c r="J11" s="55"/>
      <c r="K11" s="42"/>
    </row>
    <row r="12" spans="1:27" ht="12.75" customHeight="1">
      <c r="D12" s="36"/>
      <c r="I12" s="51"/>
      <c r="J12" s="56"/>
    </row>
    <row r="13" spans="1:27" ht="138.75" customHeight="1">
      <c r="A13" s="292" t="s">
        <v>99</v>
      </c>
      <c r="B13" s="290"/>
      <c r="C13" s="290"/>
      <c r="D13" s="290"/>
      <c r="E13" s="290"/>
      <c r="F13" s="290"/>
      <c r="G13" s="290"/>
      <c r="H13" s="290"/>
      <c r="I13" s="290"/>
      <c r="J13" s="290"/>
      <c r="K13" s="291"/>
    </row>
    <row r="14" spans="1:27" ht="12.75" customHeight="1"/>
    <row r="15" spans="1:27" ht="75" customHeight="1">
      <c r="A15" s="292" t="s">
        <v>100</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400-000000000000}"/>
    <hyperlink ref="C9" r:id="rId2" xr:uid="{00000000-0004-0000-0400-000001000000}"/>
    <hyperlink ref="C10" r:id="rId3" xr:uid="{00000000-0004-0000-0400-000002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1" width="19.1093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58</v>
      </c>
      <c r="C7" s="32" t="s">
        <v>59</v>
      </c>
      <c r="D7" s="32" t="s">
        <v>60</v>
      </c>
      <c r="E7" s="32" t="s">
        <v>61</v>
      </c>
      <c r="F7" s="45" t="s">
        <v>62</v>
      </c>
      <c r="G7" s="46" t="s">
        <v>63</v>
      </c>
      <c r="H7" s="32" t="s">
        <v>13</v>
      </c>
      <c r="I7" s="32" t="s">
        <v>64</v>
      </c>
      <c r="J7" s="32" t="s">
        <v>15</v>
      </c>
      <c r="K7" s="32" t="s">
        <v>65</v>
      </c>
      <c r="L7" s="13"/>
      <c r="M7" s="13"/>
      <c r="N7" s="13"/>
      <c r="O7" s="13"/>
      <c r="P7" s="13"/>
      <c r="Q7" s="13"/>
      <c r="R7" s="13"/>
      <c r="S7" s="13"/>
      <c r="T7" s="13"/>
      <c r="U7" s="13"/>
      <c r="V7" s="13"/>
      <c r="W7" s="13"/>
      <c r="X7" s="13"/>
      <c r="Y7" s="13"/>
      <c r="Z7" s="13"/>
      <c r="AA7" s="13"/>
    </row>
    <row r="8" spans="1:27" ht="50.25" customHeight="1">
      <c r="A8" s="35" t="s">
        <v>17</v>
      </c>
      <c r="B8" s="36" t="s">
        <v>66</v>
      </c>
      <c r="C8" s="16" t="s">
        <v>67</v>
      </c>
      <c r="D8" s="17" t="s">
        <v>68</v>
      </c>
      <c r="E8" s="41">
        <v>325210.08</v>
      </c>
      <c r="F8" s="38">
        <v>387000</v>
      </c>
      <c r="G8" s="47" t="s">
        <v>69</v>
      </c>
      <c r="H8" s="40">
        <v>3685.53</v>
      </c>
      <c r="I8" s="36" t="s">
        <v>20</v>
      </c>
      <c r="J8" s="36" t="s">
        <v>49</v>
      </c>
      <c r="K8" s="17" t="s">
        <v>70</v>
      </c>
    </row>
    <row r="9" spans="1:27" ht="50.25" customHeight="1">
      <c r="A9" s="35" t="s">
        <v>23</v>
      </c>
      <c r="B9" s="36" t="s">
        <v>29</v>
      </c>
      <c r="C9" s="16" t="s">
        <v>71</v>
      </c>
      <c r="D9" s="48" t="s">
        <v>68</v>
      </c>
      <c r="E9" s="41">
        <v>284873.95</v>
      </c>
      <c r="F9" s="38">
        <v>339000</v>
      </c>
      <c r="G9" s="47" t="s">
        <v>72</v>
      </c>
      <c r="H9" s="40">
        <v>3685.53</v>
      </c>
      <c r="I9" s="36" t="s">
        <v>20</v>
      </c>
      <c r="J9" s="36" t="s">
        <v>54</v>
      </c>
      <c r="K9" s="49" t="s">
        <v>73</v>
      </c>
    </row>
    <row r="10" spans="1:27" ht="50.25" customHeight="1">
      <c r="A10" s="35" t="s">
        <v>28</v>
      </c>
      <c r="B10" s="36" t="s">
        <v>24</v>
      </c>
      <c r="C10" s="16" t="s">
        <v>74</v>
      </c>
      <c r="D10" s="48" t="s">
        <v>68</v>
      </c>
      <c r="E10" s="38">
        <v>294033.61</v>
      </c>
      <c r="F10" s="38">
        <v>349900</v>
      </c>
      <c r="G10" s="47" t="s">
        <v>75</v>
      </c>
      <c r="H10" s="40">
        <v>3685.53</v>
      </c>
      <c r="I10" s="36" t="s">
        <v>20</v>
      </c>
      <c r="J10" s="36" t="s">
        <v>21</v>
      </c>
      <c r="K10" s="36" t="s">
        <v>76</v>
      </c>
    </row>
    <row r="11" spans="1:27" ht="15" hidden="1" customHeight="1">
      <c r="A11" s="29"/>
      <c r="B11" s="42"/>
      <c r="C11" s="42"/>
      <c r="D11" s="42"/>
      <c r="E11" s="42"/>
      <c r="F11" s="42"/>
      <c r="G11" s="42"/>
      <c r="H11" s="42"/>
      <c r="I11" s="36" t="s">
        <v>20</v>
      </c>
      <c r="J11" s="43"/>
      <c r="K11" s="42"/>
    </row>
    <row r="12" spans="1:27" ht="12.75" customHeight="1">
      <c r="I12" s="36"/>
      <c r="J12" s="44"/>
    </row>
    <row r="13" spans="1:27" ht="138.75" customHeight="1">
      <c r="A13" s="292" t="s">
        <v>77</v>
      </c>
      <c r="B13" s="290"/>
      <c r="C13" s="290"/>
      <c r="D13" s="290"/>
      <c r="E13" s="290"/>
      <c r="F13" s="290"/>
      <c r="G13" s="290"/>
      <c r="H13" s="290"/>
      <c r="I13" s="290"/>
      <c r="J13" s="290"/>
      <c r="K13" s="291"/>
    </row>
    <row r="14" spans="1:27" ht="12.75" customHeight="1"/>
    <row r="15" spans="1:27" ht="75" customHeight="1">
      <c r="A15" s="292" t="s">
        <v>78</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300-000000000000}"/>
    <hyperlink ref="C9" r:id="rId2" xr:uid="{00000000-0004-0000-0300-000001000000}"/>
    <hyperlink ref="C10" r:id="rId3" xr:uid="{00000000-0004-0000-0300-000002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9" width="19.109375" customWidth="1"/>
    <col min="10" max="10" width="64.109375" customWidth="1"/>
    <col min="11" max="26" width="10" customWidth="1"/>
  </cols>
  <sheetData>
    <row r="1" spans="1:26" ht="12.75" customHeight="1"/>
    <row r="2" spans="1:26" ht="27.75" customHeight="1">
      <c r="D2" s="287" t="s">
        <v>4</v>
      </c>
      <c r="E2" s="288"/>
      <c r="F2" s="288"/>
      <c r="G2" s="288"/>
      <c r="H2" s="288"/>
    </row>
    <row r="3" spans="1:26" ht="12.75" customHeight="1"/>
    <row r="4" spans="1:26" ht="12.75" customHeight="1"/>
    <row r="5" spans="1:26" ht="43.5" customHeight="1">
      <c r="A5" s="289" t="s">
        <v>5</v>
      </c>
      <c r="B5" s="290"/>
      <c r="C5" s="290"/>
      <c r="D5" s="290"/>
      <c r="E5" s="290"/>
      <c r="F5" s="290"/>
      <c r="G5" s="290"/>
      <c r="H5" s="290"/>
      <c r="I5" s="290"/>
      <c r="J5" s="291"/>
    </row>
    <row r="6" spans="1:26" ht="15.75" customHeight="1"/>
    <row r="7" spans="1:26" ht="75.75" customHeight="1">
      <c r="A7" s="9" t="s">
        <v>6</v>
      </c>
      <c r="B7" s="10" t="s">
        <v>101</v>
      </c>
      <c r="C7" s="10" t="s">
        <v>102</v>
      </c>
      <c r="D7" s="10" t="s">
        <v>103</v>
      </c>
      <c r="E7" s="10" t="s">
        <v>104</v>
      </c>
      <c r="F7" s="11" t="s">
        <v>105</v>
      </c>
      <c r="G7" s="57" t="s">
        <v>106</v>
      </c>
      <c r="H7" s="10" t="s">
        <v>13</v>
      </c>
      <c r="I7" s="10" t="s">
        <v>107</v>
      </c>
      <c r="J7" s="10" t="s">
        <v>108</v>
      </c>
      <c r="K7" s="13"/>
      <c r="L7" s="13"/>
      <c r="M7" s="13"/>
      <c r="N7" s="13"/>
      <c r="O7" s="13"/>
      <c r="P7" s="13"/>
      <c r="Q7" s="13"/>
      <c r="R7" s="13"/>
      <c r="S7" s="13"/>
      <c r="T7" s="13"/>
      <c r="U7" s="13"/>
      <c r="V7" s="13"/>
      <c r="W7" s="13"/>
      <c r="X7" s="13"/>
      <c r="Y7" s="13"/>
      <c r="Z7" s="13"/>
    </row>
    <row r="8" spans="1:26" ht="50.25" customHeight="1">
      <c r="A8" s="35" t="s">
        <v>17</v>
      </c>
      <c r="B8" s="17" t="s">
        <v>51</v>
      </c>
      <c r="C8" s="58" t="s">
        <v>109</v>
      </c>
      <c r="D8" s="59" t="s">
        <v>110</v>
      </c>
      <c r="E8" s="60">
        <v>159579.82999999999</v>
      </c>
      <c r="F8" s="41">
        <v>189900</v>
      </c>
      <c r="G8" s="61" t="s">
        <v>111</v>
      </c>
      <c r="H8" s="41">
        <v>3685.53</v>
      </c>
      <c r="I8" s="17" t="s">
        <v>20</v>
      </c>
      <c r="J8" s="62" t="s">
        <v>112</v>
      </c>
    </row>
    <row r="9" spans="1:26" ht="50.25" customHeight="1">
      <c r="A9" s="35" t="s">
        <v>23</v>
      </c>
      <c r="B9" s="63" t="s">
        <v>96</v>
      </c>
      <c r="C9" s="58" t="s">
        <v>113</v>
      </c>
      <c r="D9" s="59" t="s">
        <v>110</v>
      </c>
      <c r="E9" s="41">
        <v>151176.47</v>
      </c>
      <c r="F9" s="41">
        <v>179900</v>
      </c>
      <c r="G9" s="61" t="s">
        <v>114</v>
      </c>
      <c r="H9" s="40">
        <v>3685.53</v>
      </c>
      <c r="I9" s="17" t="s">
        <v>20</v>
      </c>
      <c r="J9" s="17" t="s">
        <v>115</v>
      </c>
    </row>
    <row r="10" spans="1:26" ht="50.25" customHeight="1">
      <c r="A10" s="35" t="s">
        <v>28</v>
      </c>
      <c r="B10" s="17" t="s">
        <v>24</v>
      </c>
      <c r="C10" s="58" t="s">
        <v>116</v>
      </c>
      <c r="D10" s="59" t="s">
        <v>110</v>
      </c>
      <c r="E10" s="41">
        <v>155378.15</v>
      </c>
      <c r="F10" s="41">
        <v>184900</v>
      </c>
      <c r="G10" s="61" t="s">
        <v>117</v>
      </c>
      <c r="H10" s="40">
        <v>3685.53</v>
      </c>
      <c r="I10" s="17" t="s">
        <v>20</v>
      </c>
      <c r="J10" s="17" t="s">
        <v>118</v>
      </c>
    </row>
    <row r="11" spans="1:26" ht="15" hidden="1" customHeight="1">
      <c r="A11" s="29"/>
      <c r="B11" s="42"/>
      <c r="C11" s="42"/>
      <c r="D11" s="42"/>
      <c r="E11" s="42"/>
      <c r="F11" s="42"/>
      <c r="G11" s="42"/>
      <c r="H11" s="42"/>
      <c r="I11" s="42"/>
      <c r="J11" s="42"/>
    </row>
    <row r="12" spans="1:26" ht="12.75" customHeight="1"/>
    <row r="13" spans="1:26" ht="138.75" customHeight="1">
      <c r="A13" s="292" t="s">
        <v>119</v>
      </c>
      <c r="B13" s="290"/>
      <c r="C13" s="290"/>
      <c r="D13" s="290"/>
      <c r="E13" s="290"/>
      <c r="F13" s="290"/>
      <c r="G13" s="290"/>
      <c r="H13" s="290"/>
      <c r="I13" s="290"/>
      <c r="J13" s="291"/>
    </row>
    <row r="14" spans="1:26" ht="12.75" customHeight="1"/>
    <row r="15" spans="1:26" ht="75" customHeight="1">
      <c r="A15" s="292" t="s">
        <v>120</v>
      </c>
      <c r="B15" s="290"/>
      <c r="C15" s="290"/>
      <c r="D15" s="290"/>
      <c r="E15" s="290"/>
      <c r="F15" s="290"/>
      <c r="G15" s="290"/>
      <c r="H15" s="290"/>
      <c r="I15" s="290"/>
      <c r="J15" s="291"/>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500-000000000000}"/>
    <hyperlink ref="C9" r:id="rId2" xr:uid="{00000000-0004-0000-0500-000001000000}"/>
    <hyperlink ref="C10" r:id="rId3" xr:uid="{00000000-0004-0000-0500-000002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topLeftCell="D6" workbookViewId="0">
      <selection activeCell="F10" sqref="F10"/>
    </sheetView>
  </sheetViews>
  <sheetFormatPr baseColWidth="10" defaultColWidth="12.6640625" defaultRowHeight="15" customHeight="1"/>
  <cols>
    <col min="1" max="2" width="19.109375" customWidth="1"/>
    <col min="3" max="3" width="48.5546875" customWidth="1"/>
    <col min="4" max="4" width="21.88671875" customWidth="1"/>
    <col min="5" max="6" width="17" customWidth="1"/>
    <col min="7" max="7" width="18" customWidth="1"/>
    <col min="8" max="8" width="17" customWidth="1"/>
    <col min="9" max="10" width="19.109375" customWidth="1"/>
    <col min="11" max="11" width="45.886718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64" t="s">
        <v>121</v>
      </c>
      <c r="C7" s="64" t="s">
        <v>122</v>
      </c>
      <c r="D7" s="64" t="s">
        <v>123</v>
      </c>
      <c r="E7" s="64" t="s">
        <v>124</v>
      </c>
      <c r="F7" s="65" t="s">
        <v>125</v>
      </c>
      <c r="G7" s="12" t="s">
        <v>126</v>
      </c>
      <c r="H7" s="64" t="s">
        <v>13</v>
      </c>
      <c r="I7" s="64" t="s">
        <v>127</v>
      </c>
      <c r="J7" s="64" t="s">
        <v>15</v>
      </c>
      <c r="K7" s="64" t="s">
        <v>128</v>
      </c>
      <c r="L7" s="13"/>
      <c r="M7" s="13"/>
      <c r="N7" s="13"/>
      <c r="O7" s="13"/>
      <c r="P7" s="13"/>
      <c r="Q7" s="13"/>
      <c r="R7" s="13"/>
      <c r="S7" s="13"/>
      <c r="T7" s="13"/>
      <c r="U7" s="13"/>
      <c r="V7" s="13"/>
      <c r="W7" s="13"/>
      <c r="X7" s="13"/>
      <c r="Y7" s="13"/>
      <c r="Z7" s="13"/>
      <c r="AA7" s="13"/>
    </row>
    <row r="8" spans="1:27" ht="75" customHeight="1">
      <c r="A8" s="64" t="s">
        <v>17</v>
      </c>
      <c r="B8" s="66" t="s">
        <v>51</v>
      </c>
      <c r="C8" s="67" t="s">
        <v>129</v>
      </c>
      <c r="D8" s="36" t="s">
        <v>568</v>
      </c>
      <c r="E8" s="68">
        <v>1680663.87</v>
      </c>
      <c r="F8" s="68">
        <v>1999990</v>
      </c>
      <c r="G8" s="61" t="s">
        <v>131</v>
      </c>
      <c r="H8" s="40">
        <v>3685.53</v>
      </c>
      <c r="I8" s="17" t="s">
        <v>20</v>
      </c>
      <c r="J8" s="17" t="s">
        <v>21</v>
      </c>
      <c r="K8" s="69" t="s">
        <v>132</v>
      </c>
    </row>
    <row r="9" spans="1:27" ht="50.25" customHeight="1">
      <c r="A9" s="64" t="s">
        <v>23</v>
      </c>
      <c r="B9" s="66" t="s">
        <v>29</v>
      </c>
      <c r="C9" s="235" t="s">
        <v>570</v>
      </c>
      <c r="D9" s="36" t="s">
        <v>569</v>
      </c>
      <c r="E9" s="71">
        <v>2800000</v>
      </c>
      <c r="F9" s="68">
        <v>2979900</v>
      </c>
      <c r="G9" s="61" t="s">
        <v>133</v>
      </c>
      <c r="H9" s="40">
        <v>3685.53</v>
      </c>
      <c r="I9" s="17" t="s">
        <v>20</v>
      </c>
      <c r="J9" s="17"/>
      <c r="K9" s="72" t="s">
        <v>134</v>
      </c>
    </row>
    <row r="10" spans="1:27" ht="50.25" customHeight="1">
      <c r="A10" s="64" t="s">
        <v>28</v>
      </c>
      <c r="B10" s="66" t="s">
        <v>135</v>
      </c>
      <c r="C10" s="26" t="s">
        <v>136</v>
      </c>
      <c r="D10" s="36" t="s">
        <v>571</v>
      </c>
      <c r="E10" s="73">
        <v>1890672.27</v>
      </c>
      <c r="F10" s="68">
        <v>2249900</v>
      </c>
      <c r="G10" s="61" t="s">
        <v>137</v>
      </c>
      <c r="H10" s="40">
        <v>3685.53</v>
      </c>
      <c r="I10" s="17" t="s">
        <v>20</v>
      </c>
      <c r="J10" s="17" t="s">
        <v>21</v>
      </c>
      <c r="K10" s="72" t="s">
        <v>138</v>
      </c>
    </row>
    <row r="11" spans="1:27" ht="15" hidden="1" customHeight="1">
      <c r="A11" s="29"/>
      <c r="B11" s="30"/>
      <c r="C11" s="30"/>
      <c r="D11" s="30"/>
      <c r="E11" s="30"/>
      <c r="F11" s="30"/>
      <c r="G11" s="30"/>
      <c r="H11" s="30"/>
      <c r="I11" s="30"/>
      <c r="J11" s="30"/>
      <c r="K11" s="30"/>
    </row>
    <row r="12" spans="1:27" ht="12.75" customHeight="1"/>
    <row r="13" spans="1:27" ht="138.75" customHeight="1">
      <c r="A13" s="292" t="s">
        <v>139</v>
      </c>
      <c r="B13" s="290"/>
      <c r="C13" s="290"/>
      <c r="D13" s="290"/>
      <c r="E13" s="290"/>
      <c r="F13" s="290"/>
      <c r="G13" s="290"/>
      <c r="H13" s="290"/>
      <c r="I13" s="290"/>
      <c r="J13" s="290"/>
      <c r="K13" s="291"/>
    </row>
    <row r="14" spans="1:27" ht="12.75" customHeight="1"/>
    <row r="15" spans="1:27" ht="75" customHeight="1">
      <c r="A15" s="292" t="s">
        <v>140</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600-000000000000}"/>
    <hyperlink ref="C9" r:id="rId2" location="polycard_client=recommendations_pdp-pads-up&amp;reco_backend=recomm_platform_base_pads_ron_MERGE&amp;reco_model=search_recos_backend_merge&amp;reco_client=pdp-pads-up&amp;reco_item_pos=4&amp;reco_backend_type=low_level&amp;reco_id=bd0b65ed-b2b2-4eaf-80dd-e0760deb96c8&amp;wid=MCO1547114667&amp;sid=recos&amp;is_advertising=true&amp;ad_domain=PDPDESKTOP_UP&amp;ad_position=5&amp;ad_click_id=ZDkxYzJkMDEtNTllYS00MjllLTlkNzctNTEwYWExNWJkNmVm" display="https://www.mercadolibre.com.co/lenovo-v15-g4-156---core-i5-13a-generacion-16gb-ssd-1tb/up/MCOU3037567568?pdp_filters=item_id:MCO1547114667#polycard_client=recommendations_pdp-pads-up&amp;reco_backend=recomm_platform_base_pads_ron_MERGE&amp;reco_model=search_recos_backend_merge&amp;reco_client=pdp-pads-up&amp;reco_item_pos=4&amp;reco_backend_type=low_level&amp;reco_id=bd0b65ed-b2b2-4eaf-80dd-e0760deb96c8&amp;wid=MCO1547114667&amp;sid=recos&amp;is_advertising=true&amp;ad_domain=PDPDESKTOP_UP&amp;ad_position=5&amp;ad_click_id=ZDkxYzJkMDEtNTllYS00MjllLTlkNzctNTEwYWExNWJkNmVm" xr:uid="{00000000-0004-0000-0600-000001000000}"/>
    <hyperlink ref="C10" r:id="rId3" xr:uid="{00000000-0004-0000-0600-000002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000"/>
  <sheetViews>
    <sheetView topLeftCell="A5"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1" width="19.109375" customWidth="1"/>
    <col min="12" max="27" width="10" customWidth="1"/>
  </cols>
  <sheetData>
    <row r="1" spans="1:27" ht="12.75" customHeight="1">
      <c r="A1" s="8" t="s">
        <v>141</v>
      </c>
    </row>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142</v>
      </c>
      <c r="C7" s="32" t="s">
        <v>143</v>
      </c>
      <c r="D7" s="32" t="s">
        <v>144</v>
      </c>
      <c r="E7" s="32" t="s">
        <v>145</v>
      </c>
      <c r="F7" s="33" t="s">
        <v>146</v>
      </c>
      <c r="G7" s="34" t="s">
        <v>147</v>
      </c>
      <c r="H7" s="32" t="s">
        <v>13</v>
      </c>
      <c r="I7" s="32" t="s">
        <v>148</v>
      </c>
      <c r="J7" s="32" t="s">
        <v>15</v>
      </c>
      <c r="K7" s="32" t="s">
        <v>149</v>
      </c>
      <c r="L7" s="13"/>
      <c r="M7" s="13"/>
      <c r="N7" s="13"/>
      <c r="O7" s="13"/>
      <c r="P7" s="13"/>
      <c r="Q7" s="13"/>
      <c r="R7" s="13"/>
      <c r="S7" s="13"/>
      <c r="T7" s="13"/>
      <c r="U7" s="13"/>
      <c r="V7" s="13"/>
      <c r="W7" s="13"/>
      <c r="X7" s="13"/>
      <c r="Y7" s="13"/>
      <c r="Z7" s="13"/>
      <c r="AA7" s="13"/>
    </row>
    <row r="8" spans="1:27" ht="50.25" customHeight="1">
      <c r="A8" s="35" t="s">
        <v>17</v>
      </c>
      <c r="B8" s="36" t="s">
        <v>66</v>
      </c>
      <c r="C8" s="16" t="s">
        <v>67</v>
      </c>
      <c r="D8" s="17" t="s">
        <v>68</v>
      </c>
      <c r="E8" s="41">
        <v>325210.08</v>
      </c>
      <c r="F8" s="38">
        <v>387000</v>
      </c>
      <c r="G8" s="47" t="s">
        <v>69</v>
      </c>
      <c r="H8" s="40">
        <v>3685.53</v>
      </c>
      <c r="I8" s="36" t="s">
        <v>20</v>
      </c>
      <c r="J8" s="36" t="s">
        <v>49</v>
      </c>
      <c r="K8" s="17" t="s">
        <v>70</v>
      </c>
    </row>
    <row r="9" spans="1:27" ht="50.25" customHeight="1">
      <c r="A9" s="35" t="s">
        <v>23</v>
      </c>
      <c r="B9" s="36" t="s">
        <v>29</v>
      </c>
      <c r="C9" s="16" t="s">
        <v>71</v>
      </c>
      <c r="D9" s="48" t="s">
        <v>68</v>
      </c>
      <c r="E9" s="41">
        <v>284873.95</v>
      </c>
      <c r="F9" s="38">
        <v>339000</v>
      </c>
      <c r="G9" s="47" t="s">
        <v>72</v>
      </c>
      <c r="H9" s="40">
        <v>3685.53</v>
      </c>
      <c r="I9" s="36" t="s">
        <v>20</v>
      </c>
      <c r="J9" s="36" t="s">
        <v>54</v>
      </c>
      <c r="K9" s="49" t="s">
        <v>73</v>
      </c>
    </row>
    <row r="10" spans="1:27" ht="50.25" customHeight="1">
      <c r="A10" s="35" t="s">
        <v>28</v>
      </c>
      <c r="B10" s="36" t="s">
        <v>24</v>
      </c>
      <c r="C10" s="16" t="s">
        <v>74</v>
      </c>
      <c r="D10" s="48" t="s">
        <v>68</v>
      </c>
      <c r="E10" s="38">
        <v>294033.61</v>
      </c>
      <c r="F10" s="38">
        <v>349900</v>
      </c>
      <c r="G10" s="47" t="s">
        <v>75</v>
      </c>
      <c r="H10" s="40">
        <v>3685.53</v>
      </c>
      <c r="I10" s="36" t="s">
        <v>20</v>
      </c>
      <c r="J10" s="36" t="s">
        <v>21</v>
      </c>
      <c r="K10" s="36" t="s">
        <v>76</v>
      </c>
    </row>
    <row r="11" spans="1:27" ht="15" hidden="1" customHeight="1">
      <c r="A11" s="29"/>
      <c r="B11" s="42"/>
      <c r="C11" s="42"/>
      <c r="D11" s="42"/>
      <c r="E11" s="42"/>
      <c r="F11" s="42"/>
      <c r="G11" s="42"/>
      <c r="H11" s="42"/>
      <c r="I11" s="42"/>
      <c r="J11" s="42"/>
      <c r="K11" s="42"/>
    </row>
    <row r="12" spans="1:27" ht="12.75" customHeight="1"/>
    <row r="13" spans="1:27" ht="138.75" customHeight="1">
      <c r="A13" s="292" t="s">
        <v>150</v>
      </c>
      <c r="B13" s="290"/>
      <c r="C13" s="290"/>
      <c r="D13" s="290"/>
      <c r="E13" s="290"/>
      <c r="F13" s="290"/>
      <c r="G13" s="290"/>
      <c r="H13" s="290"/>
      <c r="I13" s="290"/>
      <c r="J13" s="290"/>
      <c r="K13" s="291"/>
    </row>
    <row r="14" spans="1:27" ht="12.75" customHeight="1"/>
    <row r="15" spans="1:27" ht="75" customHeight="1">
      <c r="A15" s="292" t="s">
        <v>151</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700-000000000000}"/>
    <hyperlink ref="C9" r:id="rId2" xr:uid="{00000000-0004-0000-0700-000001000000}"/>
    <hyperlink ref="C10" r:id="rId3" xr:uid="{00000000-0004-0000-0700-000002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00"/>
  <sheetViews>
    <sheetView topLeftCell="A7"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1" width="19.1093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152</v>
      </c>
      <c r="C7" s="32" t="s">
        <v>153</v>
      </c>
      <c r="D7" s="32" t="s">
        <v>154</v>
      </c>
      <c r="E7" s="32" t="s">
        <v>155</v>
      </c>
      <c r="F7" s="33" t="s">
        <v>156</v>
      </c>
      <c r="G7" s="34" t="s">
        <v>157</v>
      </c>
      <c r="H7" s="32" t="s">
        <v>13</v>
      </c>
      <c r="I7" s="32" t="s">
        <v>158</v>
      </c>
      <c r="J7" s="32" t="s">
        <v>15</v>
      </c>
      <c r="K7" s="32" t="s">
        <v>159</v>
      </c>
      <c r="L7" s="13"/>
      <c r="M7" s="13"/>
      <c r="N7" s="13"/>
      <c r="O7" s="13"/>
      <c r="P7" s="13"/>
      <c r="Q7" s="13"/>
      <c r="R7" s="13"/>
      <c r="S7" s="13"/>
      <c r="T7" s="13"/>
      <c r="U7" s="13"/>
      <c r="V7" s="13"/>
      <c r="W7" s="13"/>
      <c r="X7" s="13"/>
      <c r="Y7" s="13"/>
      <c r="Z7" s="13"/>
      <c r="AA7" s="13"/>
    </row>
    <row r="8" spans="1:27" ht="50.25" customHeight="1">
      <c r="A8" s="35" t="s">
        <v>17</v>
      </c>
      <c r="B8" s="74" t="s">
        <v>29</v>
      </c>
      <c r="C8" s="70" t="s">
        <v>160</v>
      </c>
      <c r="D8" s="74" t="s">
        <v>161</v>
      </c>
      <c r="E8" s="75">
        <v>1014201.68</v>
      </c>
      <c r="F8" s="75">
        <v>1206900</v>
      </c>
      <c r="G8" s="75" t="s">
        <v>162</v>
      </c>
      <c r="H8" s="40">
        <v>3685.53</v>
      </c>
      <c r="I8" s="74" t="s">
        <v>20</v>
      </c>
      <c r="J8" s="74" t="s">
        <v>54</v>
      </c>
      <c r="K8" s="74" t="s">
        <v>163</v>
      </c>
    </row>
    <row r="9" spans="1:27" ht="50.25" customHeight="1">
      <c r="A9" s="35" t="s">
        <v>23</v>
      </c>
      <c r="B9" s="74" t="s">
        <v>51</v>
      </c>
      <c r="C9" s="70" t="s">
        <v>164</v>
      </c>
      <c r="D9" s="74" t="s">
        <v>161</v>
      </c>
      <c r="E9" s="75">
        <v>630168.06999999995</v>
      </c>
      <c r="F9" s="75">
        <v>749900</v>
      </c>
      <c r="G9" s="75" t="s">
        <v>165</v>
      </c>
      <c r="H9" s="40">
        <v>3685.53</v>
      </c>
      <c r="I9" s="74" t="s">
        <v>20</v>
      </c>
      <c r="J9" s="74" t="s">
        <v>21</v>
      </c>
      <c r="K9" s="74" t="s">
        <v>166</v>
      </c>
    </row>
    <row r="10" spans="1:27" ht="50.25" customHeight="1">
      <c r="A10" s="35" t="s">
        <v>28</v>
      </c>
      <c r="B10" s="74" t="s">
        <v>24</v>
      </c>
      <c r="C10" s="70" t="s">
        <v>167</v>
      </c>
      <c r="D10" s="74" t="s">
        <v>161</v>
      </c>
      <c r="E10" s="75">
        <v>755462.18</v>
      </c>
      <c r="F10" s="75">
        <v>899000</v>
      </c>
      <c r="G10" s="75" t="s">
        <v>168</v>
      </c>
      <c r="H10" s="40">
        <v>3685.53</v>
      </c>
      <c r="I10" s="74" t="s">
        <v>20</v>
      </c>
      <c r="J10" s="74" t="s">
        <v>21</v>
      </c>
      <c r="K10" s="17" t="s">
        <v>169</v>
      </c>
    </row>
    <row r="11" spans="1:27" ht="15" hidden="1" customHeight="1">
      <c r="A11" s="29"/>
      <c r="B11" s="42"/>
      <c r="C11" s="42"/>
      <c r="D11" s="42"/>
      <c r="E11" s="42"/>
      <c r="F11" s="42"/>
      <c r="G11" s="42"/>
      <c r="H11" s="42"/>
      <c r="I11" s="42"/>
      <c r="J11" s="42"/>
      <c r="K11" s="42"/>
    </row>
    <row r="12" spans="1:27" ht="12.75" customHeight="1"/>
    <row r="13" spans="1:27" ht="138.75" customHeight="1">
      <c r="A13" s="292" t="s">
        <v>170</v>
      </c>
      <c r="B13" s="290"/>
      <c r="C13" s="290"/>
      <c r="D13" s="290"/>
      <c r="E13" s="290"/>
      <c r="F13" s="290"/>
      <c r="G13" s="290"/>
      <c r="H13" s="290"/>
      <c r="I13" s="290"/>
      <c r="J13" s="290"/>
      <c r="K13" s="291"/>
    </row>
    <row r="14" spans="1:27" ht="12.75" customHeight="1"/>
    <row r="15" spans="1:27" ht="75" customHeight="1">
      <c r="A15" s="292" t="s">
        <v>171</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800-000000000000}"/>
    <hyperlink ref="C9" r:id="rId2" xr:uid="{00000000-0004-0000-0800-000001000000}"/>
    <hyperlink ref="C10" r:id="rId3" xr:uid="{00000000-0004-0000-0800-000002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A7" workbookViewId="0">
      <selection activeCell="D8" sqref="D8"/>
    </sheetView>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9" width="19.109375" customWidth="1"/>
    <col min="10" max="10" width="39.33203125" customWidth="1"/>
    <col min="11" max="26" width="10" customWidth="1"/>
  </cols>
  <sheetData>
    <row r="1" spans="1:26" ht="12.75" customHeight="1">
      <c r="A1" s="8" t="s">
        <v>172</v>
      </c>
    </row>
    <row r="2" spans="1:26" ht="27.75" customHeight="1">
      <c r="D2" s="287" t="s">
        <v>4</v>
      </c>
      <c r="E2" s="288"/>
      <c r="F2" s="288"/>
      <c r="G2" s="288"/>
      <c r="H2" s="288"/>
    </row>
    <row r="3" spans="1:26" ht="12.75" customHeight="1"/>
    <row r="4" spans="1:26" ht="12.75" customHeight="1"/>
    <row r="5" spans="1:26" ht="43.5" customHeight="1">
      <c r="A5" s="289" t="s">
        <v>5</v>
      </c>
      <c r="B5" s="290"/>
      <c r="C5" s="290"/>
      <c r="D5" s="290"/>
      <c r="E5" s="290"/>
      <c r="F5" s="290"/>
      <c r="G5" s="290"/>
      <c r="H5" s="290"/>
      <c r="I5" s="290"/>
      <c r="J5" s="291"/>
    </row>
    <row r="6" spans="1:26" ht="15.75" customHeight="1"/>
    <row r="7" spans="1:26" ht="75.75" customHeight="1">
      <c r="A7" s="9" t="s">
        <v>6</v>
      </c>
      <c r="B7" s="32" t="s">
        <v>173</v>
      </c>
      <c r="C7" s="32" t="s">
        <v>174</v>
      </c>
      <c r="D7" s="32" t="s">
        <v>175</v>
      </c>
      <c r="E7" s="32" t="s">
        <v>176</v>
      </c>
      <c r="F7" s="33" t="s">
        <v>177</v>
      </c>
      <c r="G7" s="34" t="s">
        <v>178</v>
      </c>
      <c r="H7" s="32" t="s">
        <v>13</v>
      </c>
      <c r="I7" s="32" t="s">
        <v>179</v>
      </c>
      <c r="J7" s="32" t="s">
        <v>180</v>
      </c>
      <c r="K7" s="13"/>
      <c r="L7" s="13"/>
      <c r="M7" s="13"/>
      <c r="N7" s="13"/>
      <c r="O7" s="13"/>
      <c r="P7" s="13"/>
      <c r="Q7" s="13"/>
      <c r="R7" s="13"/>
      <c r="S7" s="13"/>
      <c r="T7" s="13"/>
      <c r="U7" s="13"/>
      <c r="V7" s="13"/>
      <c r="W7" s="13"/>
      <c r="X7" s="13"/>
      <c r="Y7" s="13"/>
      <c r="Z7" s="13"/>
    </row>
    <row r="8" spans="1:26" ht="50.25" customHeight="1">
      <c r="A8" s="35" t="s">
        <v>17</v>
      </c>
      <c r="B8" s="36" t="s">
        <v>29</v>
      </c>
      <c r="C8" s="26" t="s">
        <v>181</v>
      </c>
      <c r="D8" s="236" t="s">
        <v>182</v>
      </c>
      <c r="E8" s="41">
        <v>420089.08</v>
      </c>
      <c r="F8" s="76">
        <v>499906</v>
      </c>
      <c r="G8" s="76" t="s">
        <v>183</v>
      </c>
      <c r="H8" s="40">
        <v>3685.53</v>
      </c>
      <c r="I8" s="77" t="s">
        <v>20</v>
      </c>
      <c r="J8" s="53" t="s">
        <v>184</v>
      </c>
    </row>
    <row r="9" spans="1:26" ht="68.25" customHeight="1">
      <c r="A9" s="35" t="s">
        <v>23</v>
      </c>
      <c r="B9" s="37" t="s">
        <v>24</v>
      </c>
      <c r="C9" s="26" t="s">
        <v>185</v>
      </c>
      <c r="D9" s="36" t="s">
        <v>182</v>
      </c>
      <c r="E9" s="38">
        <v>500000</v>
      </c>
      <c r="F9" s="76">
        <v>595000</v>
      </c>
      <c r="G9" s="76" t="s">
        <v>186</v>
      </c>
      <c r="H9" s="40">
        <v>3685.53</v>
      </c>
      <c r="I9" s="77" t="s">
        <v>20</v>
      </c>
      <c r="J9" s="54" t="s">
        <v>187</v>
      </c>
    </row>
    <row r="10" spans="1:26" ht="50.25" customHeight="1">
      <c r="A10" s="35" t="s">
        <v>28</v>
      </c>
      <c r="B10" s="36" t="s">
        <v>96</v>
      </c>
      <c r="C10" s="26" t="s">
        <v>188</v>
      </c>
      <c r="D10" s="36" t="s">
        <v>182</v>
      </c>
      <c r="E10" s="41">
        <v>520924.37</v>
      </c>
      <c r="F10" s="76">
        <v>619900</v>
      </c>
      <c r="G10" s="76" t="s">
        <v>189</v>
      </c>
      <c r="H10" s="40">
        <v>3685.53</v>
      </c>
      <c r="I10" s="77" t="s">
        <v>20</v>
      </c>
      <c r="J10" s="53" t="s">
        <v>190</v>
      </c>
    </row>
    <row r="11" spans="1:26" ht="15" hidden="1" customHeight="1">
      <c r="A11" s="29"/>
      <c r="B11" s="42"/>
      <c r="C11" s="42"/>
      <c r="D11" s="42"/>
      <c r="E11" s="42"/>
      <c r="F11" s="42"/>
      <c r="G11" s="42"/>
      <c r="H11" s="42"/>
      <c r="I11" s="42"/>
      <c r="J11" s="42"/>
    </row>
    <row r="12" spans="1:26" ht="12.75" customHeight="1"/>
    <row r="13" spans="1:26" ht="138.75" customHeight="1">
      <c r="A13" s="292" t="s">
        <v>191</v>
      </c>
      <c r="B13" s="290"/>
      <c r="C13" s="290"/>
      <c r="D13" s="290"/>
      <c r="E13" s="290"/>
      <c r="F13" s="290"/>
      <c r="G13" s="290"/>
      <c r="H13" s="290"/>
      <c r="I13" s="290"/>
      <c r="J13" s="291"/>
    </row>
    <row r="14" spans="1:26" ht="12.75" customHeight="1"/>
    <row r="15" spans="1:26" ht="75" customHeight="1">
      <c r="A15" s="292" t="s">
        <v>192</v>
      </c>
      <c r="B15" s="290"/>
      <c r="C15" s="290"/>
      <c r="D15" s="290"/>
      <c r="E15" s="290"/>
      <c r="F15" s="290"/>
      <c r="G15" s="290"/>
      <c r="H15" s="290"/>
      <c r="I15" s="290"/>
      <c r="J15" s="291"/>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C8" r:id="rId1" xr:uid="{00000000-0004-0000-0900-000000000000}"/>
    <hyperlink ref="C9" r:id="rId2" xr:uid="{00000000-0004-0000-0900-000001000000}"/>
    <hyperlink ref="C10" r:id="rId3" xr:uid="{00000000-0004-0000-0900-000002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1" width="19.109375" customWidth="1"/>
    <col min="12" max="27" width="10" customWidth="1"/>
  </cols>
  <sheetData>
    <row r="1" spans="1:27" ht="12.75" customHeight="1"/>
    <row r="2" spans="1:27" ht="27.75" customHeight="1">
      <c r="D2" s="287" t="s">
        <v>4</v>
      </c>
      <c r="E2" s="288"/>
      <c r="F2" s="288"/>
      <c r="G2" s="288"/>
      <c r="H2" s="288"/>
    </row>
    <row r="3" spans="1:27" ht="12.75" customHeight="1"/>
    <row r="4" spans="1:27" ht="12.75" customHeight="1"/>
    <row r="5" spans="1:27" ht="43.5" customHeight="1">
      <c r="A5" s="289" t="s">
        <v>5</v>
      </c>
      <c r="B5" s="290"/>
      <c r="C5" s="290"/>
      <c r="D5" s="290"/>
      <c r="E5" s="290"/>
      <c r="F5" s="290"/>
      <c r="G5" s="290"/>
      <c r="H5" s="290"/>
      <c r="I5" s="290"/>
      <c r="J5" s="290"/>
      <c r="K5" s="291"/>
    </row>
    <row r="6" spans="1:27" ht="15.75" customHeight="1"/>
    <row r="7" spans="1:27" ht="75.75" customHeight="1">
      <c r="A7" s="9" t="s">
        <v>6</v>
      </c>
      <c r="B7" s="32" t="s">
        <v>193</v>
      </c>
      <c r="C7" s="32" t="s">
        <v>194</v>
      </c>
      <c r="D7" s="32" t="s">
        <v>195</v>
      </c>
      <c r="E7" s="32" t="s">
        <v>196</v>
      </c>
      <c r="F7" s="33" t="s">
        <v>197</v>
      </c>
      <c r="G7" s="34" t="s">
        <v>198</v>
      </c>
      <c r="H7" s="32" t="s">
        <v>13</v>
      </c>
      <c r="I7" s="32" t="s">
        <v>199</v>
      </c>
      <c r="J7" s="32" t="s">
        <v>15</v>
      </c>
      <c r="K7" s="32" t="s">
        <v>200</v>
      </c>
      <c r="L7" s="13"/>
      <c r="M7" s="13"/>
      <c r="N7" s="13"/>
      <c r="O7" s="13"/>
      <c r="P7" s="13"/>
      <c r="Q7" s="13"/>
      <c r="R7" s="13"/>
      <c r="S7" s="13"/>
      <c r="T7" s="13"/>
      <c r="U7" s="13"/>
      <c r="V7" s="13"/>
      <c r="W7" s="13"/>
      <c r="X7" s="13"/>
      <c r="Y7" s="13"/>
      <c r="Z7" s="13"/>
      <c r="AA7" s="13"/>
    </row>
    <row r="8" spans="1:27" ht="50.25" customHeight="1">
      <c r="A8" s="35" t="s">
        <v>17</v>
      </c>
      <c r="B8" s="36" t="s">
        <v>29</v>
      </c>
      <c r="C8" s="26" t="s">
        <v>87</v>
      </c>
      <c r="D8" s="36" t="s">
        <v>88</v>
      </c>
      <c r="E8" s="41">
        <v>41332.769999999997</v>
      </c>
      <c r="F8" s="38">
        <v>49186</v>
      </c>
      <c r="G8" s="39" t="s">
        <v>89</v>
      </c>
      <c r="H8" s="50">
        <v>3685.53</v>
      </c>
      <c r="I8" s="51" t="s">
        <v>20</v>
      </c>
      <c r="J8" s="52" t="s">
        <v>90</v>
      </c>
      <c r="K8" s="53" t="s">
        <v>91</v>
      </c>
    </row>
    <row r="9" spans="1:27" ht="50.25" customHeight="1">
      <c r="A9" s="35" t="s">
        <v>23</v>
      </c>
      <c r="B9" s="37" t="s">
        <v>92</v>
      </c>
      <c r="C9" s="26" t="s">
        <v>93</v>
      </c>
      <c r="D9" s="36" t="s">
        <v>88</v>
      </c>
      <c r="E9" s="38">
        <v>419327.73</v>
      </c>
      <c r="F9" s="38">
        <v>499000</v>
      </c>
      <c r="G9" s="39" t="s">
        <v>94</v>
      </c>
      <c r="H9" s="50">
        <v>3685.53</v>
      </c>
      <c r="I9" s="51" t="s">
        <v>20</v>
      </c>
      <c r="J9" s="52" t="s">
        <v>54</v>
      </c>
      <c r="K9" s="54" t="s">
        <v>95</v>
      </c>
    </row>
    <row r="10" spans="1:27" ht="50.25" customHeight="1">
      <c r="A10" s="35" t="s">
        <v>28</v>
      </c>
      <c r="B10" s="36" t="s">
        <v>96</v>
      </c>
      <c r="C10" s="26" t="s">
        <v>97</v>
      </c>
      <c r="D10" s="36" t="s">
        <v>88</v>
      </c>
      <c r="E10" s="41">
        <v>294033.61</v>
      </c>
      <c r="F10" s="38">
        <v>349000</v>
      </c>
      <c r="G10" s="39" t="s">
        <v>75</v>
      </c>
      <c r="H10" s="50">
        <v>3685.53</v>
      </c>
      <c r="I10" s="51" t="s">
        <v>20</v>
      </c>
      <c r="J10" s="52" t="s">
        <v>54</v>
      </c>
      <c r="K10" s="53" t="s">
        <v>98</v>
      </c>
    </row>
    <row r="11" spans="1:27" ht="15" hidden="1" customHeight="1">
      <c r="A11" s="29"/>
      <c r="B11" s="42"/>
      <c r="C11" s="42"/>
      <c r="D11" s="42"/>
      <c r="E11" s="42"/>
      <c r="F11" s="42"/>
      <c r="G11" s="42"/>
      <c r="H11" s="42"/>
      <c r="I11" s="42"/>
      <c r="J11" s="42"/>
      <c r="K11" s="42"/>
    </row>
    <row r="12" spans="1:27" ht="12.75" customHeight="1"/>
    <row r="13" spans="1:27" ht="138.75" customHeight="1">
      <c r="A13" s="292" t="s">
        <v>201</v>
      </c>
      <c r="B13" s="290"/>
      <c r="C13" s="290"/>
      <c r="D13" s="290"/>
      <c r="E13" s="290"/>
      <c r="F13" s="290"/>
      <c r="G13" s="290"/>
      <c r="H13" s="290"/>
      <c r="I13" s="290"/>
      <c r="J13" s="290"/>
      <c r="K13" s="291"/>
    </row>
    <row r="14" spans="1:27" ht="12.75" customHeight="1"/>
    <row r="15" spans="1:27" ht="75" customHeight="1">
      <c r="A15" s="292" t="s">
        <v>202</v>
      </c>
      <c r="B15" s="290"/>
      <c r="C15" s="290"/>
      <c r="D15" s="290"/>
      <c r="E15" s="290"/>
      <c r="F15" s="290"/>
      <c r="G15" s="290"/>
      <c r="H15" s="290"/>
      <c r="I15" s="290"/>
      <c r="J15" s="290"/>
      <c r="K15" s="291"/>
    </row>
    <row r="16" spans="1:27"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ef="C8" r:id="rId1" xr:uid="{00000000-0004-0000-0A00-000000000000}"/>
    <hyperlink ref="C9" r:id="rId2" xr:uid="{00000000-0004-0000-0A00-000001000000}"/>
    <hyperlink ref="C10" r:id="rId3" xr:uid="{00000000-0004-0000-0A00-000002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topLeftCell="A7"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c r="A1" s="8"/>
    </row>
    <row r="2" spans="1:26" ht="27.75" customHeight="1">
      <c r="D2" s="287" t="s">
        <v>4</v>
      </c>
      <c r="E2" s="288"/>
      <c r="F2" s="288"/>
      <c r="G2" s="288"/>
      <c r="H2" s="288"/>
    </row>
    <row r="3" spans="1:26" ht="12.75" customHeight="1"/>
    <row r="4" spans="1:26" ht="12.75" customHeight="1"/>
    <row r="5" spans="1:26" ht="43.5" customHeight="1">
      <c r="A5" s="289" t="s">
        <v>5</v>
      </c>
      <c r="B5" s="290"/>
      <c r="C5" s="290"/>
      <c r="D5" s="290"/>
      <c r="E5" s="290"/>
      <c r="F5" s="290"/>
      <c r="G5" s="290"/>
      <c r="H5" s="290"/>
      <c r="I5" s="290"/>
      <c r="J5" s="291"/>
    </row>
    <row r="6" spans="1:26" ht="15.75" customHeight="1"/>
    <row r="7" spans="1:26" ht="75.75" customHeight="1">
      <c r="A7" s="9" t="s">
        <v>6</v>
      </c>
      <c r="B7" s="32" t="s">
        <v>203</v>
      </c>
      <c r="C7" s="32" t="s">
        <v>204</v>
      </c>
      <c r="D7" s="32" t="s">
        <v>205</v>
      </c>
      <c r="E7" s="32" t="s">
        <v>206</v>
      </c>
      <c r="F7" s="33" t="s">
        <v>207</v>
      </c>
      <c r="G7" s="34" t="s">
        <v>208</v>
      </c>
      <c r="H7" s="32" t="s">
        <v>13</v>
      </c>
      <c r="I7" s="32" t="s">
        <v>209</v>
      </c>
      <c r="J7" s="32" t="s">
        <v>210</v>
      </c>
      <c r="K7" s="13"/>
      <c r="L7" s="13"/>
      <c r="M7" s="13"/>
      <c r="N7" s="13"/>
      <c r="O7" s="13"/>
      <c r="P7" s="13"/>
      <c r="Q7" s="13"/>
      <c r="R7" s="13"/>
      <c r="S7" s="13"/>
      <c r="T7" s="13"/>
      <c r="U7" s="13"/>
      <c r="V7" s="13"/>
      <c r="W7" s="13"/>
      <c r="X7" s="13"/>
      <c r="Y7" s="13"/>
      <c r="Z7" s="13"/>
    </row>
    <row r="8" spans="1:26" ht="50.25" customHeight="1">
      <c r="A8" s="35" t="s">
        <v>17</v>
      </c>
      <c r="B8" s="77" t="s">
        <v>211</v>
      </c>
      <c r="C8" s="78" t="s">
        <v>212</v>
      </c>
      <c r="D8" s="77" t="s">
        <v>213</v>
      </c>
      <c r="E8" s="76">
        <v>31502.13</v>
      </c>
      <c r="F8" s="76">
        <v>37487.53</v>
      </c>
      <c r="G8" s="79" t="s">
        <v>214</v>
      </c>
      <c r="H8" s="80">
        <v>3685.53</v>
      </c>
      <c r="I8" s="77" t="s">
        <v>20</v>
      </c>
      <c r="J8" s="77" t="s">
        <v>215</v>
      </c>
    </row>
    <row r="9" spans="1:26" ht="50.25" customHeight="1">
      <c r="A9" s="35" t="s">
        <v>23</v>
      </c>
      <c r="B9" s="77" t="s">
        <v>29</v>
      </c>
      <c r="C9" s="16" t="s">
        <v>216</v>
      </c>
      <c r="D9" s="77" t="s">
        <v>217</v>
      </c>
      <c r="E9" s="76">
        <v>32773.11</v>
      </c>
      <c r="F9" s="81">
        <v>39.9</v>
      </c>
      <c r="G9" s="39" t="s">
        <v>218</v>
      </c>
      <c r="H9" s="80">
        <v>3685.53</v>
      </c>
      <c r="I9" s="77" t="s">
        <v>20</v>
      </c>
      <c r="J9" s="77" t="s">
        <v>219</v>
      </c>
    </row>
    <row r="10" spans="1:26" ht="50.25" customHeight="1">
      <c r="A10" s="35" t="s">
        <v>28</v>
      </c>
      <c r="B10" s="77" t="s">
        <v>220</v>
      </c>
      <c r="C10" s="78" t="s">
        <v>221</v>
      </c>
      <c r="D10" s="77" t="s">
        <v>222</v>
      </c>
      <c r="E10" s="76">
        <v>58235.29</v>
      </c>
      <c r="F10" s="76">
        <v>69300</v>
      </c>
      <c r="G10" s="39" t="s">
        <v>223</v>
      </c>
      <c r="H10" s="80">
        <v>3685.53</v>
      </c>
      <c r="I10" s="77" t="s">
        <v>20</v>
      </c>
      <c r="J10" s="77" t="s">
        <v>224</v>
      </c>
    </row>
    <row r="11" spans="1:26" ht="15" hidden="1" customHeight="1">
      <c r="A11" s="29"/>
      <c r="B11" s="42"/>
      <c r="C11" s="42"/>
      <c r="D11" s="42"/>
      <c r="E11" s="42"/>
      <c r="F11" s="42"/>
      <c r="G11" s="42"/>
      <c r="H11" s="42"/>
      <c r="I11" s="42"/>
      <c r="J11" s="42"/>
    </row>
    <row r="12" spans="1:26" ht="12.75" customHeight="1"/>
    <row r="13" spans="1:26" ht="138.75" customHeight="1">
      <c r="A13" s="292" t="s">
        <v>225</v>
      </c>
      <c r="B13" s="290"/>
      <c r="C13" s="290"/>
      <c r="D13" s="290"/>
      <c r="E13" s="290"/>
      <c r="F13" s="290"/>
      <c r="G13" s="290"/>
      <c r="H13" s="290"/>
      <c r="I13" s="290"/>
      <c r="J13" s="291"/>
    </row>
    <row r="14" spans="1:26" ht="12.75" customHeight="1"/>
    <row r="15" spans="1:26" ht="75" customHeight="1">
      <c r="A15" s="292" t="s">
        <v>226</v>
      </c>
      <c r="B15" s="290"/>
      <c r="C15" s="290"/>
      <c r="D15" s="290"/>
      <c r="E15" s="290"/>
      <c r="F15" s="290"/>
      <c r="G15" s="290"/>
      <c r="H15" s="290"/>
      <c r="I15" s="290"/>
      <c r="J15" s="291"/>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B00-000000000000}"/>
    <hyperlink ref="C9" r:id="rId2" xr:uid="{00000000-0004-0000-0B00-000001000000}"/>
    <hyperlink ref="C10" r:id="rId3" xr:uid="{00000000-0004-0000-0B00-000002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99"/>
  <sheetViews>
    <sheetView topLeftCell="A14" workbookViewId="0">
      <selection activeCell="E32" sqref="E32"/>
    </sheetView>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9" width="19.109375" customWidth="1"/>
    <col min="10" max="10" width="49.6640625" customWidth="1"/>
    <col min="11" max="11" width="11.88671875" customWidth="1"/>
    <col min="12" max="12" width="9.77734375" customWidth="1"/>
    <col min="13" max="13" width="15" customWidth="1"/>
    <col min="14" max="26" width="10" customWidth="1"/>
  </cols>
  <sheetData>
    <row r="1" spans="1:26" ht="12.75" customHeight="1">
      <c r="A1" s="8"/>
    </row>
    <row r="2" spans="1:26" ht="27.75" customHeight="1">
      <c r="D2" s="287" t="s">
        <v>4</v>
      </c>
      <c r="E2" s="288"/>
      <c r="F2" s="288"/>
      <c r="G2" s="288"/>
      <c r="H2" s="288"/>
    </row>
    <row r="3" spans="1:26" ht="12.75" customHeight="1"/>
    <row r="4" spans="1:26" ht="12.75" customHeight="1"/>
    <row r="5" spans="1:26" ht="43.5" customHeight="1">
      <c r="A5" s="289" t="s">
        <v>5</v>
      </c>
      <c r="B5" s="290"/>
      <c r="C5" s="290"/>
      <c r="D5" s="290"/>
      <c r="E5" s="290"/>
      <c r="F5" s="290"/>
      <c r="G5" s="290"/>
      <c r="H5" s="290"/>
      <c r="I5" s="290"/>
      <c r="J5" s="291"/>
    </row>
    <row r="6" spans="1:26" ht="15.75" customHeight="1"/>
    <row r="7" spans="1:26" ht="18" customHeight="1">
      <c r="A7" s="293" t="s">
        <v>227</v>
      </c>
      <c r="B7" s="290"/>
      <c r="C7" s="290"/>
      <c r="D7" s="290"/>
      <c r="E7" s="290"/>
      <c r="F7" s="290"/>
      <c r="G7" s="290"/>
      <c r="H7" s="290"/>
      <c r="I7" s="290"/>
      <c r="J7" s="291"/>
    </row>
    <row r="8" spans="1:26" ht="50.25" customHeight="1">
      <c r="A8" s="9"/>
      <c r="B8" s="10" t="s">
        <v>228</v>
      </c>
      <c r="C8" s="10" t="s">
        <v>229</v>
      </c>
      <c r="D8" s="10" t="s">
        <v>230</v>
      </c>
      <c r="E8" s="10" t="s">
        <v>231</v>
      </c>
      <c r="F8" s="11" t="s">
        <v>232</v>
      </c>
      <c r="G8" s="57" t="s">
        <v>233</v>
      </c>
      <c r="H8" s="10" t="s">
        <v>13</v>
      </c>
      <c r="I8" s="10" t="s">
        <v>234</v>
      </c>
      <c r="J8" s="10" t="s">
        <v>235</v>
      </c>
    </row>
    <row r="9" spans="1:26" ht="50.25" customHeight="1">
      <c r="A9" s="14" t="s">
        <v>17</v>
      </c>
      <c r="B9" s="77" t="s">
        <v>236</v>
      </c>
      <c r="C9" s="78" t="s">
        <v>237</v>
      </c>
      <c r="D9" s="77" t="s">
        <v>238</v>
      </c>
      <c r="E9" s="76">
        <v>18482.7</v>
      </c>
      <c r="F9" s="76">
        <v>21994.41</v>
      </c>
      <c r="G9" s="39">
        <v>5</v>
      </c>
      <c r="H9" s="80">
        <v>3685.53</v>
      </c>
      <c r="I9" s="77" t="s">
        <v>20</v>
      </c>
      <c r="J9" s="77" t="s">
        <v>239</v>
      </c>
    </row>
    <row r="10" spans="1:26" ht="50.25" customHeight="1">
      <c r="A10" s="14" t="s">
        <v>23</v>
      </c>
      <c r="B10" s="77" t="s">
        <v>236</v>
      </c>
      <c r="C10" s="16" t="s">
        <v>240</v>
      </c>
      <c r="D10" s="77" t="s">
        <v>241</v>
      </c>
      <c r="E10" s="76">
        <v>48717.17</v>
      </c>
      <c r="F10" s="81">
        <v>57973.43</v>
      </c>
      <c r="G10" s="39">
        <v>13.25</v>
      </c>
      <c r="H10" s="80">
        <v>3685.53</v>
      </c>
      <c r="I10" s="77" t="s">
        <v>20</v>
      </c>
      <c r="J10" s="77" t="s">
        <v>242</v>
      </c>
    </row>
    <row r="11" spans="1:26" ht="50.25" customHeight="1">
      <c r="A11" s="14" t="s">
        <v>28</v>
      </c>
      <c r="B11" s="77" t="s">
        <v>243</v>
      </c>
      <c r="C11" s="82" t="s">
        <v>244</v>
      </c>
      <c r="D11" s="77" t="s">
        <v>245</v>
      </c>
      <c r="E11" s="76">
        <v>146000</v>
      </c>
      <c r="F11" s="76">
        <v>93415</v>
      </c>
      <c r="G11" s="39">
        <v>23.35</v>
      </c>
      <c r="H11" s="80">
        <v>3685.53</v>
      </c>
      <c r="I11" s="77" t="s">
        <v>20</v>
      </c>
      <c r="J11" s="77" t="s">
        <v>246</v>
      </c>
    </row>
    <row r="12" spans="1:26" ht="50.25" customHeight="1">
      <c r="A12" s="83"/>
      <c r="B12" s="84"/>
      <c r="C12" s="85"/>
      <c r="D12" s="84"/>
      <c r="E12" s="86"/>
      <c r="F12" s="86"/>
      <c r="G12" s="87"/>
      <c r="H12" s="88"/>
      <c r="I12" s="84"/>
      <c r="J12" s="84"/>
    </row>
    <row r="13" spans="1:26" ht="15.75" customHeight="1">
      <c r="A13" s="294" t="s">
        <v>247</v>
      </c>
      <c r="B13" s="295"/>
      <c r="C13" s="295"/>
      <c r="D13" s="295"/>
      <c r="E13" s="295"/>
      <c r="F13" s="295"/>
      <c r="G13" s="295"/>
      <c r="H13" s="295"/>
      <c r="I13" s="295"/>
      <c r="J13" s="296"/>
    </row>
    <row r="14" spans="1:26" ht="75.75" customHeight="1">
      <c r="A14" s="9" t="s">
        <v>6</v>
      </c>
      <c r="B14" s="32" t="s">
        <v>248</v>
      </c>
      <c r="C14" s="32" t="s">
        <v>249</v>
      </c>
      <c r="D14" s="32" t="s">
        <v>250</v>
      </c>
      <c r="E14" s="32" t="s">
        <v>251</v>
      </c>
      <c r="F14" s="33" t="s">
        <v>252</v>
      </c>
      <c r="G14" s="34" t="s">
        <v>253</v>
      </c>
      <c r="H14" s="32" t="s">
        <v>13</v>
      </c>
      <c r="I14" s="32" t="s">
        <v>254</v>
      </c>
      <c r="J14" s="32" t="s">
        <v>255</v>
      </c>
      <c r="K14" s="13"/>
      <c r="L14" s="13"/>
      <c r="M14" s="13"/>
      <c r="N14" s="13"/>
      <c r="O14" s="13"/>
      <c r="P14" s="13"/>
      <c r="Q14" s="13"/>
      <c r="R14" s="13"/>
      <c r="S14" s="13"/>
      <c r="T14" s="13"/>
      <c r="U14" s="13"/>
      <c r="V14" s="13"/>
      <c r="W14" s="13"/>
      <c r="X14" s="13"/>
      <c r="Y14" s="13"/>
      <c r="Z14" s="13"/>
    </row>
    <row r="15" spans="1:26" ht="50.25" customHeight="1">
      <c r="A15" s="35" t="s">
        <v>17</v>
      </c>
      <c r="B15" s="77" t="s">
        <v>256</v>
      </c>
      <c r="C15" s="89" t="s">
        <v>257</v>
      </c>
      <c r="D15" s="77" t="s">
        <v>258</v>
      </c>
      <c r="E15" s="76">
        <v>18427.650000000001</v>
      </c>
      <c r="F15" s="76">
        <v>21928.9</v>
      </c>
      <c r="G15" s="79">
        <v>5</v>
      </c>
      <c r="H15" s="80">
        <v>3685.53</v>
      </c>
      <c r="I15" s="77" t="s">
        <v>20</v>
      </c>
      <c r="J15" s="77" t="s">
        <v>259</v>
      </c>
    </row>
    <row r="16" spans="1:26" ht="50.25" customHeight="1">
      <c r="A16" s="35" t="s">
        <v>23</v>
      </c>
      <c r="B16" s="77" t="s">
        <v>260</v>
      </c>
      <c r="C16" s="90" t="s">
        <v>261</v>
      </c>
      <c r="D16" s="77" t="s">
        <v>262</v>
      </c>
      <c r="E16" s="76">
        <v>73710.600000000006</v>
      </c>
      <c r="F16" s="81">
        <v>87715.61</v>
      </c>
      <c r="G16" s="39">
        <v>20</v>
      </c>
      <c r="H16" s="91">
        <v>3685.53</v>
      </c>
      <c r="I16" s="77" t="s">
        <v>20</v>
      </c>
      <c r="J16" s="77" t="s">
        <v>242</v>
      </c>
    </row>
    <row r="17" spans="1:10" ht="72.75" customHeight="1">
      <c r="A17" s="35" t="s">
        <v>28</v>
      </c>
      <c r="B17" s="77" t="s">
        <v>263</v>
      </c>
      <c r="C17" s="82" t="s">
        <v>264</v>
      </c>
      <c r="D17" s="77" t="s">
        <v>265</v>
      </c>
      <c r="E17" s="76">
        <v>147421.20000000001</v>
      </c>
      <c r="F17" s="76">
        <v>175431.22</v>
      </c>
      <c r="G17" s="39">
        <v>40</v>
      </c>
      <c r="H17" s="80">
        <v>3685.53</v>
      </c>
      <c r="I17" s="77" t="s">
        <v>20</v>
      </c>
      <c r="J17" s="77" t="s">
        <v>266</v>
      </c>
    </row>
    <row r="18" spans="1:10" ht="15" hidden="1" customHeight="1">
      <c r="A18" s="29"/>
      <c r="B18" s="42"/>
      <c r="C18" s="42"/>
      <c r="D18" s="42"/>
      <c r="E18" s="42"/>
      <c r="F18" s="42"/>
      <c r="G18" s="42"/>
      <c r="H18" s="42"/>
      <c r="I18" s="42"/>
      <c r="J18" s="42"/>
    </row>
    <row r="19" spans="1:10" ht="15.75" customHeight="1">
      <c r="A19" s="293" t="s">
        <v>267</v>
      </c>
      <c r="B19" s="290"/>
      <c r="C19" s="290"/>
      <c r="D19" s="290"/>
      <c r="E19" s="290"/>
      <c r="F19" s="290"/>
      <c r="G19" s="290"/>
      <c r="H19" s="290"/>
      <c r="I19" s="290"/>
      <c r="J19" s="291"/>
    </row>
    <row r="20" spans="1:10" ht="45" customHeight="1">
      <c r="A20" s="92" t="s">
        <v>6</v>
      </c>
      <c r="B20" s="93" t="s">
        <v>268</v>
      </c>
      <c r="C20" s="93" t="s">
        <v>269</v>
      </c>
      <c r="D20" s="93" t="s">
        <v>270</v>
      </c>
      <c r="E20" s="93" t="s">
        <v>271</v>
      </c>
      <c r="F20" s="94" t="s">
        <v>272</v>
      </c>
      <c r="G20" s="95" t="s">
        <v>273</v>
      </c>
      <c r="H20" s="93" t="s">
        <v>13</v>
      </c>
      <c r="I20" s="93" t="s">
        <v>274</v>
      </c>
      <c r="J20" s="93" t="s">
        <v>275</v>
      </c>
    </row>
    <row r="21" spans="1:10" ht="45" customHeight="1">
      <c r="A21" s="96" t="s">
        <v>17</v>
      </c>
      <c r="B21" s="97" t="s">
        <v>276</v>
      </c>
      <c r="C21" s="98" t="s">
        <v>277</v>
      </c>
      <c r="D21" s="99" t="s">
        <v>278</v>
      </c>
      <c r="E21" s="100">
        <v>153318.04</v>
      </c>
      <c r="F21" s="100">
        <v>182448.47</v>
      </c>
      <c r="G21" s="101">
        <v>41.6</v>
      </c>
      <c r="H21" s="102">
        <v>3685.53</v>
      </c>
      <c r="I21" s="62" t="s">
        <v>20</v>
      </c>
      <c r="J21" s="62" t="s">
        <v>279</v>
      </c>
    </row>
    <row r="22" spans="1:10" ht="64.5" customHeight="1">
      <c r="A22" s="96" t="s">
        <v>23</v>
      </c>
      <c r="B22" s="103" t="s">
        <v>280</v>
      </c>
      <c r="C22" s="104" t="s">
        <v>281</v>
      </c>
      <c r="D22" s="62" t="s">
        <v>282</v>
      </c>
      <c r="E22" s="100">
        <v>22113.45</v>
      </c>
      <c r="F22" s="105">
        <v>26315</v>
      </c>
      <c r="G22" s="106">
        <v>6</v>
      </c>
      <c r="H22" s="102">
        <v>3685.53</v>
      </c>
      <c r="I22" s="62" t="s">
        <v>20</v>
      </c>
      <c r="J22" s="77" t="s">
        <v>283</v>
      </c>
    </row>
    <row r="23" spans="1:10" ht="57" customHeight="1">
      <c r="A23" s="96" t="s">
        <v>28</v>
      </c>
      <c r="B23" s="97" t="s">
        <v>284</v>
      </c>
      <c r="C23" s="107" t="s">
        <v>285</v>
      </c>
      <c r="D23" s="62" t="s">
        <v>286</v>
      </c>
      <c r="E23" s="100">
        <v>132681.51</v>
      </c>
      <c r="F23" s="100">
        <v>157891</v>
      </c>
      <c r="G23" s="106">
        <v>36</v>
      </c>
      <c r="H23" s="102">
        <v>3685.53</v>
      </c>
      <c r="I23" s="62" t="s">
        <v>20</v>
      </c>
      <c r="J23" s="97" t="s">
        <v>287</v>
      </c>
    </row>
    <row r="24" spans="1:10" ht="18" customHeight="1">
      <c r="A24" s="293" t="s">
        <v>288</v>
      </c>
      <c r="B24" s="290"/>
      <c r="C24" s="290"/>
      <c r="D24" s="290"/>
      <c r="E24" s="290"/>
      <c r="F24" s="290"/>
      <c r="G24" s="290"/>
      <c r="H24" s="290"/>
      <c r="I24" s="290"/>
      <c r="J24" s="291"/>
    </row>
    <row r="25" spans="1:10" ht="46.5" customHeight="1">
      <c r="A25" s="92" t="s">
        <v>6</v>
      </c>
      <c r="B25" s="93" t="s">
        <v>289</v>
      </c>
      <c r="C25" s="93" t="s">
        <v>290</v>
      </c>
      <c r="D25" s="93" t="s">
        <v>291</v>
      </c>
      <c r="E25" s="93" t="s">
        <v>292</v>
      </c>
      <c r="F25" s="94" t="s">
        <v>293</v>
      </c>
      <c r="G25" s="95" t="s">
        <v>294</v>
      </c>
      <c r="H25" s="93" t="s">
        <v>13</v>
      </c>
      <c r="I25" s="93" t="s">
        <v>295</v>
      </c>
      <c r="J25" s="93" t="s">
        <v>296</v>
      </c>
    </row>
    <row r="26" spans="1:10" ht="46.5" customHeight="1">
      <c r="A26" s="96" t="s">
        <v>17</v>
      </c>
      <c r="B26" s="97" t="s">
        <v>297</v>
      </c>
      <c r="C26" s="98" t="s">
        <v>298</v>
      </c>
      <c r="D26" s="99" t="s">
        <v>299</v>
      </c>
      <c r="E26" s="108">
        <v>36858.39</v>
      </c>
      <c r="F26" s="108">
        <v>43861.48</v>
      </c>
      <c r="G26" s="109">
        <v>12</v>
      </c>
      <c r="H26" s="110">
        <v>3685.53</v>
      </c>
      <c r="I26" s="97" t="s">
        <v>20</v>
      </c>
      <c r="J26" s="97" t="s">
        <v>300</v>
      </c>
    </row>
    <row r="27" spans="1:10" ht="46.5" customHeight="1">
      <c r="A27" s="96" t="s">
        <v>23</v>
      </c>
      <c r="B27" s="97" t="s">
        <v>301</v>
      </c>
      <c r="C27" s="111" t="s">
        <v>302</v>
      </c>
      <c r="D27" s="97" t="s">
        <v>303</v>
      </c>
      <c r="E27" s="108">
        <v>37472.69</v>
      </c>
      <c r="F27" s="112">
        <v>44592.5</v>
      </c>
      <c r="G27" s="113">
        <v>12.5</v>
      </c>
      <c r="H27" s="110">
        <v>3685.53</v>
      </c>
      <c r="I27" s="97" t="s">
        <v>20</v>
      </c>
      <c r="J27" s="97" t="s">
        <v>304</v>
      </c>
    </row>
    <row r="28" spans="1:10" ht="46.5" customHeight="1">
      <c r="A28" s="96" t="s">
        <v>28</v>
      </c>
      <c r="B28" s="97" t="s">
        <v>305</v>
      </c>
      <c r="C28" s="107" t="s">
        <v>306</v>
      </c>
      <c r="D28" s="97" t="s">
        <v>307</v>
      </c>
      <c r="E28" s="108">
        <v>76788.3</v>
      </c>
      <c r="F28" s="108">
        <v>91378.08</v>
      </c>
      <c r="G28" s="113">
        <v>25</v>
      </c>
      <c r="H28" s="110">
        <v>3685.53</v>
      </c>
      <c r="I28" s="97" t="s">
        <v>20</v>
      </c>
      <c r="J28" s="97" t="s">
        <v>308</v>
      </c>
    </row>
    <row r="29" spans="1:10" ht="15" customHeight="1">
      <c r="A29" s="293" t="s">
        <v>309</v>
      </c>
      <c r="B29" s="290"/>
      <c r="C29" s="290"/>
      <c r="D29" s="290"/>
      <c r="E29" s="290"/>
      <c r="F29" s="290"/>
      <c r="G29" s="290"/>
      <c r="H29" s="290"/>
      <c r="I29" s="290"/>
      <c r="J29" s="291"/>
    </row>
    <row r="30" spans="1:10" ht="47.25" customHeight="1">
      <c r="A30" s="92" t="s">
        <v>6</v>
      </c>
      <c r="B30" s="93" t="s">
        <v>310</v>
      </c>
      <c r="C30" s="93" t="s">
        <v>311</v>
      </c>
      <c r="D30" s="93" t="s">
        <v>312</v>
      </c>
      <c r="E30" s="93" t="s">
        <v>313</v>
      </c>
      <c r="F30" s="94" t="s">
        <v>314</v>
      </c>
      <c r="G30" s="95" t="s">
        <v>315</v>
      </c>
      <c r="H30" s="93" t="s">
        <v>13</v>
      </c>
      <c r="I30" s="93" t="s">
        <v>316</v>
      </c>
      <c r="J30" s="93" t="s">
        <v>317</v>
      </c>
    </row>
    <row r="31" spans="1:10" ht="47.25" customHeight="1">
      <c r="A31" s="96" t="s">
        <v>17</v>
      </c>
      <c r="B31" s="97" t="s">
        <v>280</v>
      </c>
      <c r="C31" s="114" t="s">
        <v>318</v>
      </c>
      <c r="D31" s="115" t="s">
        <v>319</v>
      </c>
      <c r="E31" s="101">
        <v>0</v>
      </c>
      <c r="F31" s="101">
        <v>0</v>
      </c>
      <c r="G31" s="101">
        <v>0</v>
      </c>
      <c r="H31" s="102">
        <v>3685.53</v>
      </c>
      <c r="I31" s="62" t="s">
        <v>20</v>
      </c>
      <c r="J31" s="97" t="s">
        <v>320</v>
      </c>
    </row>
    <row r="32" spans="1:10" ht="47.25" customHeight="1">
      <c r="A32" s="96" t="s">
        <v>23</v>
      </c>
      <c r="B32" s="97" t="s">
        <v>321</v>
      </c>
      <c r="C32" s="111" t="s">
        <v>322</v>
      </c>
      <c r="D32" s="62" t="s">
        <v>323</v>
      </c>
      <c r="E32" s="100">
        <v>176900.84</v>
      </c>
      <c r="F32" s="116">
        <v>210512</v>
      </c>
      <c r="G32" s="106">
        <v>48</v>
      </c>
      <c r="H32" s="102">
        <v>3685.53</v>
      </c>
      <c r="I32" s="62" t="s">
        <v>20</v>
      </c>
      <c r="J32" s="97" t="s">
        <v>324</v>
      </c>
    </row>
    <row r="33" spans="1:10" ht="47.25" customHeight="1">
      <c r="A33" s="96" t="s">
        <v>28</v>
      </c>
      <c r="B33" s="97" t="s">
        <v>325</v>
      </c>
      <c r="C33" s="107" t="s">
        <v>326</v>
      </c>
      <c r="D33" s="62" t="s">
        <v>327</v>
      </c>
      <c r="E33" s="100">
        <v>767883</v>
      </c>
      <c r="F33" s="100">
        <v>913780.77</v>
      </c>
      <c r="G33" s="106">
        <v>250</v>
      </c>
      <c r="H33" s="102">
        <v>3685.53</v>
      </c>
      <c r="I33" s="62" t="s">
        <v>20</v>
      </c>
      <c r="J33" s="97" t="s">
        <v>328</v>
      </c>
    </row>
    <row r="34" spans="1:10" ht="17.25" customHeight="1">
      <c r="A34" s="293" t="s">
        <v>329</v>
      </c>
      <c r="B34" s="290"/>
      <c r="C34" s="290"/>
      <c r="D34" s="290"/>
      <c r="E34" s="290"/>
      <c r="F34" s="290"/>
      <c r="G34" s="290"/>
      <c r="H34" s="290"/>
      <c r="I34" s="290"/>
      <c r="J34" s="291"/>
    </row>
    <row r="35" spans="1:10" ht="43.5" customHeight="1">
      <c r="A35" s="92" t="s">
        <v>6</v>
      </c>
      <c r="B35" s="93" t="s">
        <v>330</v>
      </c>
      <c r="C35" s="93" t="s">
        <v>331</v>
      </c>
      <c r="D35" s="93" t="s">
        <v>332</v>
      </c>
      <c r="E35" s="93" t="s">
        <v>333</v>
      </c>
      <c r="F35" s="94" t="s">
        <v>334</v>
      </c>
      <c r="G35" s="95" t="s">
        <v>335</v>
      </c>
      <c r="H35" s="93" t="s">
        <v>13</v>
      </c>
      <c r="I35" s="93" t="s">
        <v>336</v>
      </c>
      <c r="J35" s="93" t="s">
        <v>337</v>
      </c>
    </row>
    <row r="36" spans="1:10" ht="43.5" customHeight="1">
      <c r="A36" s="96" t="s">
        <v>17</v>
      </c>
      <c r="B36" s="97" t="s">
        <v>338</v>
      </c>
      <c r="C36" s="114" t="s">
        <v>339</v>
      </c>
      <c r="D36" s="117" t="s">
        <v>340</v>
      </c>
      <c r="E36" s="100">
        <v>18426.89</v>
      </c>
      <c r="F36" s="100">
        <v>21928</v>
      </c>
      <c r="G36" s="101">
        <v>5</v>
      </c>
      <c r="H36" s="102">
        <v>3685.53</v>
      </c>
      <c r="I36" s="62" t="s">
        <v>20</v>
      </c>
      <c r="J36" s="97" t="s">
        <v>341</v>
      </c>
    </row>
    <row r="37" spans="1:10" ht="43.5" customHeight="1">
      <c r="A37" s="96" t="s">
        <v>23</v>
      </c>
      <c r="B37" s="97" t="s">
        <v>342</v>
      </c>
      <c r="C37" s="111" t="s">
        <v>343</v>
      </c>
      <c r="D37" s="62" t="s">
        <v>344</v>
      </c>
      <c r="E37" s="101">
        <v>0</v>
      </c>
      <c r="F37" s="101">
        <v>0</v>
      </c>
      <c r="G37" s="101">
        <v>0</v>
      </c>
      <c r="H37" s="102">
        <v>3685.53</v>
      </c>
      <c r="I37" s="62" t="s">
        <v>20</v>
      </c>
      <c r="J37" s="97" t="s">
        <v>345</v>
      </c>
    </row>
    <row r="38" spans="1:10" ht="43.5" customHeight="1">
      <c r="A38" s="96" t="s">
        <v>28</v>
      </c>
      <c r="B38" s="97" t="s">
        <v>346</v>
      </c>
      <c r="C38" s="107" t="s">
        <v>347</v>
      </c>
      <c r="D38" s="62" t="s">
        <v>348</v>
      </c>
      <c r="E38" s="100">
        <v>61430.64</v>
      </c>
      <c r="F38" s="101">
        <v>73102.460000000006</v>
      </c>
      <c r="G38" s="101">
        <v>20</v>
      </c>
      <c r="H38" s="102">
        <v>3685.53</v>
      </c>
      <c r="I38" s="62" t="s">
        <v>20</v>
      </c>
      <c r="J38" s="97" t="s">
        <v>349</v>
      </c>
    </row>
    <row r="39" spans="1:10" ht="18" customHeight="1">
      <c r="A39" s="293" t="s">
        <v>350</v>
      </c>
      <c r="B39" s="290"/>
      <c r="C39" s="290"/>
      <c r="D39" s="290"/>
      <c r="E39" s="290"/>
      <c r="F39" s="290"/>
      <c r="G39" s="290"/>
      <c r="H39" s="290"/>
      <c r="I39" s="290"/>
      <c r="J39" s="291"/>
    </row>
    <row r="40" spans="1:10" ht="41.25" customHeight="1">
      <c r="A40" s="92" t="s">
        <v>6</v>
      </c>
      <c r="B40" s="93" t="s">
        <v>351</v>
      </c>
      <c r="C40" s="93" t="s">
        <v>352</v>
      </c>
      <c r="D40" s="93" t="s">
        <v>353</v>
      </c>
      <c r="E40" s="93" t="s">
        <v>354</v>
      </c>
      <c r="F40" s="94" t="s">
        <v>355</v>
      </c>
      <c r="G40" s="95" t="s">
        <v>356</v>
      </c>
      <c r="H40" s="93" t="s">
        <v>13</v>
      </c>
      <c r="I40" s="93" t="s">
        <v>357</v>
      </c>
      <c r="J40" s="93" t="s">
        <v>358</v>
      </c>
    </row>
    <row r="41" spans="1:10" ht="41.25" customHeight="1">
      <c r="A41" s="96" t="s">
        <v>17</v>
      </c>
      <c r="B41" s="97" t="s">
        <v>359</v>
      </c>
      <c r="C41" s="114" t="s">
        <v>360</v>
      </c>
      <c r="D41" s="115" t="s">
        <v>361</v>
      </c>
      <c r="E41" s="101">
        <v>0</v>
      </c>
      <c r="F41" s="101">
        <v>0</v>
      </c>
      <c r="G41" s="101">
        <v>0</v>
      </c>
      <c r="H41" s="102">
        <v>3685.53</v>
      </c>
      <c r="I41" s="62" t="s">
        <v>20</v>
      </c>
      <c r="J41" s="97" t="s">
        <v>362</v>
      </c>
    </row>
    <row r="42" spans="1:10" ht="41.25" customHeight="1">
      <c r="A42" s="96" t="s">
        <v>23</v>
      </c>
      <c r="B42" s="97" t="s">
        <v>363</v>
      </c>
      <c r="C42" s="111" t="s">
        <v>364</v>
      </c>
      <c r="D42" s="62" t="s">
        <v>365</v>
      </c>
      <c r="E42" s="100">
        <v>109377.25</v>
      </c>
      <c r="F42" s="116">
        <v>130158.93</v>
      </c>
      <c r="G42" s="106">
        <v>35.61</v>
      </c>
      <c r="H42" s="102">
        <v>3685.53</v>
      </c>
      <c r="I42" s="62" t="s">
        <v>20</v>
      </c>
      <c r="J42" s="97" t="s">
        <v>366</v>
      </c>
    </row>
    <row r="43" spans="1:10" ht="41.25" customHeight="1">
      <c r="A43" s="96" t="s">
        <v>28</v>
      </c>
      <c r="B43" s="97" t="s">
        <v>367</v>
      </c>
      <c r="C43" s="107" t="s">
        <v>368</v>
      </c>
      <c r="D43" s="62" t="s">
        <v>369</v>
      </c>
      <c r="E43" s="100">
        <v>76788.3</v>
      </c>
      <c r="F43" s="100" t="s">
        <v>370</v>
      </c>
      <c r="G43" s="106">
        <v>25</v>
      </c>
      <c r="H43" s="102">
        <v>3685.53</v>
      </c>
      <c r="I43" s="62" t="s">
        <v>20</v>
      </c>
      <c r="J43" s="97" t="s">
        <v>371</v>
      </c>
    </row>
    <row r="44" spans="1:10" ht="16.5" customHeight="1">
      <c r="A44" s="293" t="s">
        <v>372</v>
      </c>
      <c r="B44" s="290"/>
      <c r="C44" s="290"/>
      <c r="D44" s="290"/>
      <c r="E44" s="290"/>
      <c r="F44" s="290"/>
      <c r="G44" s="290"/>
      <c r="H44" s="290"/>
      <c r="I44" s="290"/>
      <c r="J44" s="291"/>
    </row>
    <row r="45" spans="1:10" ht="45" customHeight="1">
      <c r="A45" s="92" t="s">
        <v>6</v>
      </c>
      <c r="B45" s="93" t="s">
        <v>373</v>
      </c>
      <c r="C45" s="93" t="s">
        <v>374</v>
      </c>
      <c r="D45" s="93" t="s">
        <v>375</v>
      </c>
      <c r="E45" s="93" t="s">
        <v>376</v>
      </c>
      <c r="F45" s="94" t="s">
        <v>377</v>
      </c>
      <c r="G45" s="95" t="s">
        <v>378</v>
      </c>
      <c r="H45" s="93" t="s">
        <v>13</v>
      </c>
      <c r="I45" s="93" t="s">
        <v>379</v>
      </c>
      <c r="J45" s="93" t="s">
        <v>380</v>
      </c>
    </row>
    <row r="46" spans="1:10" ht="45" customHeight="1">
      <c r="A46" s="96" t="s">
        <v>17</v>
      </c>
      <c r="B46" s="97" t="s">
        <v>381</v>
      </c>
      <c r="C46" s="114" t="s">
        <v>382</v>
      </c>
      <c r="D46" s="115" t="s">
        <v>383</v>
      </c>
      <c r="E46" s="100">
        <v>46072.98</v>
      </c>
      <c r="F46" s="100" t="s">
        <v>384</v>
      </c>
      <c r="G46" s="101">
        <v>15</v>
      </c>
      <c r="H46" s="102">
        <v>3685.53</v>
      </c>
      <c r="I46" s="62" t="s">
        <v>20</v>
      </c>
      <c r="J46" s="97" t="s">
        <v>385</v>
      </c>
    </row>
    <row r="47" spans="1:10" ht="45" customHeight="1">
      <c r="A47" s="96" t="s">
        <v>23</v>
      </c>
      <c r="B47" s="97" t="s">
        <v>386</v>
      </c>
      <c r="C47" s="111" t="s">
        <v>387</v>
      </c>
      <c r="D47" s="62" t="s">
        <v>388</v>
      </c>
      <c r="E47" s="100">
        <v>73710.080000000002</v>
      </c>
      <c r="F47" s="116">
        <v>87715</v>
      </c>
      <c r="G47" s="106">
        <v>20</v>
      </c>
      <c r="H47" s="102">
        <v>3685.53</v>
      </c>
      <c r="I47" s="62" t="s">
        <v>20</v>
      </c>
      <c r="J47" s="97" t="s">
        <v>389</v>
      </c>
    </row>
    <row r="48" spans="1:10" ht="45" customHeight="1">
      <c r="A48" s="96" t="s">
        <v>28</v>
      </c>
      <c r="B48" s="97" t="s">
        <v>390</v>
      </c>
      <c r="C48" s="107" t="s">
        <v>391</v>
      </c>
      <c r="D48" s="62" t="s">
        <v>344</v>
      </c>
      <c r="E48" s="101">
        <v>0</v>
      </c>
      <c r="F48" s="101">
        <v>0</v>
      </c>
      <c r="G48" s="101">
        <v>0</v>
      </c>
      <c r="H48" s="102">
        <v>3685.53</v>
      </c>
      <c r="I48" s="62" t="s">
        <v>20</v>
      </c>
      <c r="J48" s="97" t="s">
        <v>392</v>
      </c>
    </row>
    <row r="49" spans="5:5" ht="12.75" customHeight="1">
      <c r="E49" s="118"/>
    </row>
    <row r="50" spans="5:5" ht="12.75" customHeight="1"/>
    <row r="51" spans="5:5" ht="12.75" customHeight="1"/>
    <row r="52" spans="5:5" ht="12.75" customHeight="1"/>
    <row r="53" spans="5:5" ht="12.75" customHeight="1"/>
    <row r="54" spans="5:5" ht="12.75" customHeight="1"/>
    <row r="55" spans="5:5" ht="12.75" customHeight="1"/>
    <row r="56" spans="5:5" ht="12.75" customHeight="1"/>
    <row r="57" spans="5:5" ht="12.75" customHeight="1"/>
    <row r="58" spans="5:5" ht="12.75" customHeight="1"/>
    <row r="59" spans="5:5" ht="12.75" customHeight="1"/>
    <row r="60" spans="5:5" ht="12.75" customHeight="1"/>
    <row r="61" spans="5:5" ht="12.75" customHeight="1"/>
    <row r="62" spans="5:5" ht="12.75" customHeight="1"/>
    <row r="63" spans="5:5" ht="12.75" customHeight="1"/>
    <row r="64" spans="5:5"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10">
    <mergeCell ref="A34:J34"/>
    <mergeCell ref="A39:J39"/>
    <mergeCell ref="A44:J44"/>
    <mergeCell ref="D2:H2"/>
    <mergeCell ref="A5:J5"/>
    <mergeCell ref="A7:J7"/>
    <mergeCell ref="A13:J13"/>
    <mergeCell ref="A19:J19"/>
    <mergeCell ref="A24:J24"/>
    <mergeCell ref="A29:J29"/>
  </mergeCells>
  <hyperlinks>
    <hyperlink ref="C9" r:id="rId1" location="managed-data-services" xr:uid="{00000000-0004-0000-0C00-000000000000}"/>
    <hyperlink ref="C10" r:id="rId2" xr:uid="{00000000-0004-0000-0C00-000001000000}"/>
    <hyperlink ref="C11" r:id="rId3" xr:uid="{00000000-0004-0000-0C00-000002000000}"/>
    <hyperlink ref="C15" r:id="rId4" xr:uid="{00000000-0004-0000-0C00-000003000000}"/>
    <hyperlink ref="C16" r:id="rId5" xr:uid="{00000000-0004-0000-0C00-000004000000}"/>
    <hyperlink ref="C17" r:id="rId6" xr:uid="{00000000-0004-0000-0C00-000005000000}"/>
    <hyperlink ref="C21" r:id="rId7" xr:uid="{00000000-0004-0000-0C00-000006000000}"/>
    <hyperlink ref="C22" r:id="rId8" xr:uid="{00000000-0004-0000-0C00-000007000000}"/>
    <hyperlink ref="C23" r:id="rId9" xr:uid="{00000000-0004-0000-0C00-000008000000}"/>
    <hyperlink ref="C26" r:id="rId10" xr:uid="{00000000-0004-0000-0C00-000009000000}"/>
    <hyperlink ref="C27" r:id="rId11" xr:uid="{00000000-0004-0000-0C00-00000A000000}"/>
    <hyperlink ref="C28" r:id="rId12" xr:uid="{00000000-0004-0000-0C00-00000B000000}"/>
    <hyperlink ref="C31" r:id="rId13" xr:uid="{00000000-0004-0000-0C00-00000C000000}"/>
    <hyperlink ref="C32" r:id="rId14" xr:uid="{00000000-0004-0000-0C00-00000D000000}"/>
    <hyperlink ref="C33" r:id="rId15" location="pricing" xr:uid="{00000000-0004-0000-0C00-00000E000000}"/>
    <hyperlink ref="C36" r:id="rId16" location="compute" xr:uid="{00000000-0004-0000-0C00-00000F000000}"/>
    <hyperlink ref="C37" r:id="rId17" xr:uid="{00000000-0004-0000-0C00-000010000000}"/>
    <hyperlink ref="C38" r:id="rId18" xr:uid="{00000000-0004-0000-0C00-000011000000}"/>
    <hyperlink ref="C41" r:id="rId19" xr:uid="{00000000-0004-0000-0C00-000012000000}"/>
    <hyperlink ref="C42" r:id="rId20" xr:uid="{00000000-0004-0000-0C00-000013000000}"/>
    <hyperlink ref="C43" r:id="rId21" xr:uid="{00000000-0004-0000-0C00-000014000000}"/>
    <hyperlink ref="C46" r:id="rId22" xr:uid="{00000000-0004-0000-0C00-000015000000}"/>
    <hyperlink ref="C47" r:id="rId23" xr:uid="{00000000-0004-0000-0C00-000016000000}"/>
    <hyperlink ref="C48" r:id="rId24" xr:uid="{00000000-0004-0000-0C00-000017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978"/>
  <sheetViews>
    <sheetView topLeftCell="A26" workbookViewId="0">
      <selection activeCell="A5" sqref="A5:K5"/>
    </sheetView>
  </sheetViews>
  <sheetFormatPr baseColWidth="10" defaultColWidth="12.6640625" defaultRowHeight="15" customHeight="1"/>
  <cols>
    <col min="1" max="2" width="19.109375" customWidth="1"/>
    <col min="3" max="3" width="31.44140625" customWidth="1"/>
    <col min="4" max="4" width="26.21875" customWidth="1"/>
    <col min="5" max="6" width="17" customWidth="1"/>
    <col min="7" max="7" width="18" customWidth="1"/>
    <col min="8" max="8" width="17" customWidth="1"/>
    <col min="9" max="9" width="19.109375" customWidth="1"/>
    <col min="10" max="10" width="21.44140625" customWidth="1"/>
    <col min="11" max="11" width="33.109375" customWidth="1"/>
    <col min="12" max="26" width="10" customWidth="1"/>
  </cols>
  <sheetData>
    <row r="1" spans="1:26" ht="12.75" customHeight="1">
      <c r="A1" s="8"/>
    </row>
    <row r="2" spans="1:26" ht="27.75" customHeight="1">
      <c r="D2" s="287" t="s">
        <v>4</v>
      </c>
      <c r="E2" s="288"/>
      <c r="F2" s="288"/>
      <c r="G2" s="288"/>
      <c r="H2" s="288"/>
    </row>
    <row r="3" spans="1:26" ht="12.75" customHeight="1"/>
    <row r="4" spans="1:26" ht="12.75" customHeight="1"/>
    <row r="5" spans="1:26" ht="43.5" customHeight="1">
      <c r="A5" s="289" t="s">
        <v>5</v>
      </c>
      <c r="B5" s="290"/>
      <c r="C5" s="290"/>
      <c r="D5" s="290"/>
      <c r="E5" s="290"/>
      <c r="F5" s="290"/>
      <c r="G5" s="290"/>
      <c r="H5" s="290"/>
      <c r="I5" s="290"/>
      <c r="J5" s="290"/>
      <c r="K5" s="291"/>
    </row>
    <row r="6" spans="1:26" ht="15.75" customHeight="1"/>
    <row r="7" spans="1:26" ht="15.75" customHeight="1">
      <c r="A7" s="293" t="s">
        <v>393</v>
      </c>
      <c r="B7" s="290"/>
      <c r="C7" s="290"/>
      <c r="D7" s="290"/>
      <c r="E7" s="290"/>
      <c r="F7" s="290"/>
      <c r="G7" s="290"/>
      <c r="H7" s="290"/>
      <c r="I7" s="290"/>
      <c r="J7" s="290"/>
      <c r="K7" s="291"/>
    </row>
    <row r="8" spans="1:26" ht="75.75" customHeight="1">
      <c r="A8" s="9" t="s">
        <v>6</v>
      </c>
      <c r="B8" s="32" t="s">
        <v>394</v>
      </c>
      <c r="C8" s="32" t="s">
        <v>395</v>
      </c>
      <c r="D8" s="32" t="s">
        <v>396</v>
      </c>
      <c r="E8" s="32" t="s">
        <v>397</v>
      </c>
      <c r="F8" s="33" t="s">
        <v>398</v>
      </c>
      <c r="G8" s="34" t="s">
        <v>399</v>
      </c>
      <c r="H8" s="32" t="s">
        <v>13</v>
      </c>
      <c r="I8" s="32" t="s">
        <v>400</v>
      </c>
      <c r="J8" s="32" t="s">
        <v>15</v>
      </c>
      <c r="K8" s="32" t="s">
        <v>401</v>
      </c>
      <c r="L8" s="13"/>
      <c r="M8" s="13"/>
      <c r="N8" s="13"/>
      <c r="O8" s="13"/>
      <c r="P8" s="13"/>
      <c r="Q8" s="13"/>
      <c r="R8" s="13"/>
      <c r="S8" s="13"/>
      <c r="T8" s="13"/>
      <c r="U8" s="13"/>
      <c r="V8" s="13"/>
      <c r="W8" s="13"/>
      <c r="X8" s="13"/>
      <c r="Y8" s="13"/>
      <c r="Z8" s="13"/>
    </row>
    <row r="9" spans="1:26" ht="50.25" customHeight="1">
      <c r="A9" s="35" t="s">
        <v>17</v>
      </c>
      <c r="B9" s="74" t="s">
        <v>29</v>
      </c>
      <c r="C9" s="70" t="s">
        <v>160</v>
      </c>
      <c r="D9" s="74" t="s">
        <v>161</v>
      </c>
      <c r="E9" s="75">
        <v>1014201.68</v>
      </c>
      <c r="F9" s="75">
        <v>1206900</v>
      </c>
      <c r="G9" s="119" t="s">
        <v>162</v>
      </c>
      <c r="H9" s="120">
        <v>3685.53</v>
      </c>
      <c r="I9" s="74" t="s">
        <v>20</v>
      </c>
      <c r="J9" s="74" t="s">
        <v>54</v>
      </c>
      <c r="K9" s="74" t="s">
        <v>163</v>
      </c>
    </row>
    <row r="10" spans="1:26" ht="50.25" customHeight="1">
      <c r="A10" s="35" t="s">
        <v>23</v>
      </c>
      <c r="B10" s="74" t="s">
        <v>51</v>
      </c>
      <c r="C10" s="70" t="s">
        <v>164</v>
      </c>
      <c r="D10" s="74" t="s">
        <v>161</v>
      </c>
      <c r="E10" s="75">
        <v>630168.06999999995</v>
      </c>
      <c r="F10" s="75">
        <v>749900</v>
      </c>
      <c r="G10" s="119" t="s">
        <v>165</v>
      </c>
      <c r="H10" s="120">
        <v>3685.53</v>
      </c>
      <c r="I10" s="74" t="s">
        <v>20</v>
      </c>
      <c r="J10" s="74" t="s">
        <v>21</v>
      </c>
      <c r="K10" s="74" t="s">
        <v>166</v>
      </c>
    </row>
    <row r="11" spans="1:26" ht="72.75" customHeight="1">
      <c r="A11" s="35" t="s">
        <v>28</v>
      </c>
      <c r="B11" s="74" t="s">
        <v>24</v>
      </c>
      <c r="C11" s="70" t="s">
        <v>167</v>
      </c>
      <c r="D11" s="74" t="s">
        <v>161</v>
      </c>
      <c r="E11" s="75">
        <v>755462.18</v>
      </c>
      <c r="F11" s="75">
        <v>899000</v>
      </c>
      <c r="G11" s="119" t="s">
        <v>168</v>
      </c>
      <c r="H11" s="120">
        <v>3685.53</v>
      </c>
      <c r="I11" s="74" t="s">
        <v>20</v>
      </c>
      <c r="J11" s="74" t="s">
        <v>21</v>
      </c>
      <c r="K11" s="17" t="s">
        <v>169</v>
      </c>
    </row>
    <row r="12" spans="1:26" ht="15" hidden="1" customHeight="1">
      <c r="A12" s="29"/>
      <c r="B12" s="42"/>
      <c r="C12" s="42"/>
      <c r="D12" s="42"/>
      <c r="E12" s="42"/>
      <c r="F12" s="42"/>
      <c r="G12" s="42"/>
      <c r="H12" s="42"/>
      <c r="I12" s="42"/>
      <c r="J12" s="42"/>
    </row>
    <row r="13" spans="1:26" ht="15.75" customHeight="1">
      <c r="A13" s="293" t="s">
        <v>402</v>
      </c>
      <c r="B13" s="290"/>
      <c r="C13" s="290"/>
      <c r="D13" s="290"/>
      <c r="E13" s="290"/>
      <c r="F13" s="290"/>
      <c r="G13" s="290"/>
      <c r="H13" s="290"/>
      <c r="I13" s="290"/>
      <c r="J13" s="290"/>
      <c r="K13" s="291"/>
    </row>
    <row r="14" spans="1:26" ht="45" customHeight="1">
      <c r="A14" s="92" t="s">
        <v>6</v>
      </c>
      <c r="B14" s="32" t="s">
        <v>403</v>
      </c>
      <c r="C14" s="32" t="s">
        <v>404</v>
      </c>
      <c r="D14" s="32" t="s">
        <v>405</v>
      </c>
      <c r="E14" s="32" t="s">
        <v>406</v>
      </c>
      <c r="F14" s="33" t="s">
        <v>407</v>
      </c>
      <c r="G14" s="34" t="s">
        <v>408</v>
      </c>
      <c r="H14" s="32" t="s">
        <v>13</v>
      </c>
      <c r="I14" s="32" t="s">
        <v>409</v>
      </c>
      <c r="J14" s="32" t="s">
        <v>15</v>
      </c>
      <c r="K14" s="32" t="s">
        <v>410</v>
      </c>
    </row>
    <row r="15" spans="1:26" ht="60.75" customHeight="1">
      <c r="A15" s="96" t="s">
        <v>17</v>
      </c>
      <c r="B15" s="74" t="s">
        <v>411</v>
      </c>
      <c r="C15" s="121" t="s">
        <v>412</v>
      </c>
      <c r="D15" s="74" t="s">
        <v>413</v>
      </c>
      <c r="E15" s="119">
        <v>510085.3</v>
      </c>
      <c r="F15" s="119">
        <v>607001.51</v>
      </c>
      <c r="G15" s="119">
        <v>164.99</v>
      </c>
      <c r="H15" s="120">
        <v>3685.53</v>
      </c>
      <c r="I15" s="74" t="s">
        <v>20</v>
      </c>
      <c r="J15" s="74" t="s">
        <v>414</v>
      </c>
      <c r="K15" s="74" t="s">
        <v>415</v>
      </c>
    </row>
    <row r="16" spans="1:26" ht="64.5" customHeight="1">
      <c r="A16" s="96" t="s">
        <v>23</v>
      </c>
      <c r="B16" s="74" t="s">
        <v>29</v>
      </c>
      <c r="C16" s="122" t="s">
        <v>416</v>
      </c>
      <c r="D16" s="123" t="s">
        <v>417</v>
      </c>
      <c r="E16" s="124">
        <v>378151</v>
      </c>
      <c r="F16" s="124">
        <v>450000</v>
      </c>
      <c r="G16" s="75">
        <v>122</v>
      </c>
      <c r="H16" s="120">
        <v>3685.53</v>
      </c>
      <c r="I16" s="74" t="s">
        <v>20</v>
      </c>
      <c r="J16" s="74" t="s">
        <v>414</v>
      </c>
      <c r="K16" s="74" t="s">
        <v>418</v>
      </c>
    </row>
    <row r="17" spans="1:11" ht="57" customHeight="1">
      <c r="A17" s="96" t="s">
        <v>28</v>
      </c>
      <c r="B17" s="74" t="s">
        <v>419</v>
      </c>
      <c r="C17" s="121" t="s">
        <v>420</v>
      </c>
      <c r="D17" s="74" t="s">
        <v>421</v>
      </c>
      <c r="E17" s="119">
        <v>546218.49</v>
      </c>
      <c r="F17" s="119">
        <v>650000</v>
      </c>
      <c r="G17" s="119">
        <v>178.29</v>
      </c>
      <c r="H17" s="120">
        <v>3685.53</v>
      </c>
      <c r="I17" s="74" t="s">
        <v>20</v>
      </c>
      <c r="J17" s="74" t="s">
        <v>422</v>
      </c>
      <c r="K17" s="17" t="s">
        <v>423</v>
      </c>
    </row>
    <row r="18" spans="1:11" ht="18" customHeight="1">
      <c r="A18" s="293" t="s">
        <v>424</v>
      </c>
      <c r="B18" s="290"/>
      <c r="C18" s="290"/>
      <c r="D18" s="290"/>
      <c r="E18" s="290"/>
      <c r="F18" s="290"/>
      <c r="G18" s="290"/>
      <c r="H18" s="290"/>
      <c r="I18" s="290"/>
      <c r="J18" s="290"/>
      <c r="K18" s="291"/>
    </row>
    <row r="19" spans="1:11" ht="46.5" customHeight="1">
      <c r="A19" s="92" t="s">
        <v>6</v>
      </c>
      <c r="B19" s="32" t="s">
        <v>425</v>
      </c>
      <c r="C19" s="32" t="s">
        <v>426</v>
      </c>
      <c r="D19" s="32" t="s">
        <v>427</v>
      </c>
      <c r="E19" s="32" t="s">
        <v>428</v>
      </c>
      <c r="F19" s="33" t="s">
        <v>429</v>
      </c>
      <c r="G19" s="34" t="s">
        <v>430</v>
      </c>
      <c r="H19" s="32" t="s">
        <v>13</v>
      </c>
      <c r="I19" s="32" t="s">
        <v>431</v>
      </c>
      <c r="J19" s="32" t="s">
        <v>15</v>
      </c>
      <c r="K19" s="32" t="s">
        <v>432</v>
      </c>
    </row>
    <row r="20" spans="1:11" ht="61.5" customHeight="1">
      <c r="A20" s="96" t="s">
        <v>17</v>
      </c>
      <c r="B20" s="74" t="s">
        <v>433</v>
      </c>
      <c r="C20" s="121" t="s">
        <v>434</v>
      </c>
      <c r="D20" s="74" t="s">
        <v>435</v>
      </c>
      <c r="E20" s="119">
        <v>739411.76</v>
      </c>
      <c r="F20" s="119">
        <v>879900</v>
      </c>
      <c r="G20" s="119" t="s">
        <v>436</v>
      </c>
      <c r="H20" s="120">
        <v>3685.53</v>
      </c>
      <c r="I20" s="74" t="s">
        <v>20</v>
      </c>
      <c r="J20" s="74" t="s">
        <v>21</v>
      </c>
      <c r="K20" s="74" t="s">
        <v>437</v>
      </c>
    </row>
    <row r="21" spans="1:11" ht="51" customHeight="1">
      <c r="A21" s="96" t="s">
        <v>23</v>
      </c>
      <c r="B21" s="74" t="s">
        <v>438</v>
      </c>
      <c r="C21" s="121" t="s">
        <v>439</v>
      </c>
      <c r="D21" s="74" t="s">
        <v>440</v>
      </c>
      <c r="E21" s="119">
        <v>474105.04</v>
      </c>
      <c r="F21" s="119">
        <v>564185</v>
      </c>
      <c r="G21" s="75" t="s">
        <v>441</v>
      </c>
      <c r="H21" s="120">
        <v>3685.53</v>
      </c>
      <c r="I21" s="74" t="s">
        <v>20</v>
      </c>
      <c r="J21" s="74" t="s">
        <v>54</v>
      </c>
      <c r="K21" s="74" t="s">
        <v>442</v>
      </c>
    </row>
    <row r="22" spans="1:11" ht="46.5" customHeight="1">
      <c r="A22" s="96" t="s">
        <v>28</v>
      </c>
      <c r="B22" s="74" t="s">
        <v>443</v>
      </c>
      <c r="C22" s="121" t="s">
        <v>444</v>
      </c>
      <c r="D22" s="74" t="s">
        <v>445</v>
      </c>
      <c r="E22" s="75">
        <v>767452.1</v>
      </c>
      <c r="F22" s="119">
        <v>913268</v>
      </c>
      <c r="G22" s="75" t="s">
        <v>446</v>
      </c>
      <c r="H22" s="120">
        <v>3685.53</v>
      </c>
      <c r="I22" s="74" t="s">
        <v>20</v>
      </c>
      <c r="J22" s="74" t="s">
        <v>54</v>
      </c>
      <c r="K22" s="17" t="s">
        <v>447</v>
      </c>
    </row>
    <row r="23" spans="1:11" ht="15" customHeight="1">
      <c r="A23" s="293" t="s">
        <v>448</v>
      </c>
      <c r="B23" s="290"/>
      <c r="C23" s="290"/>
      <c r="D23" s="290"/>
      <c r="E23" s="290"/>
      <c r="F23" s="290"/>
      <c r="G23" s="290"/>
      <c r="H23" s="290"/>
      <c r="I23" s="290"/>
      <c r="J23" s="290"/>
      <c r="K23" s="291"/>
    </row>
    <row r="24" spans="1:11" ht="47.25" customHeight="1">
      <c r="A24" s="92" t="s">
        <v>6</v>
      </c>
      <c r="B24" s="93" t="s">
        <v>449</v>
      </c>
      <c r="C24" s="93" t="s">
        <v>450</v>
      </c>
      <c r="D24" s="93" t="s">
        <v>451</v>
      </c>
      <c r="E24" s="93" t="s">
        <v>452</v>
      </c>
      <c r="F24" s="94" t="s">
        <v>453</v>
      </c>
      <c r="G24" s="95" t="s">
        <v>454</v>
      </c>
      <c r="H24" s="93" t="s">
        <v>13</v>
      </c>
      <c r="I24" s="93" t="s">
        <v>455</v>
      </c>
      <c r="J24" s="32" t="s">
        <v>15</v>
      </c>
      <c r="K24" s="32" t="s">
        <v>456</v>
      </c>
    </row>
    <row r="25" spans="1:11" ht="47.25" customHeight="1">
      <c r="A25" s="96" t="s">
        <v>17</v>
      </c>
      <c r="B25" s="97" t="s">
        <v>457</v>
      </c>
      <c r="C25" s="114" t="s">
        <v>458</v>
      </c>
      <c r="D25" s="99" t="s">
        <v>459</v>
      </c>
      <c r="E25" s="109">
        <v>0</v>
      </c>
      <c r="F25" s="109">
        <v>0</v>
      </c>
      <c r="G25" s="109">
        <v>0</v>
      </c>
      <c r="H25" s="109">
        <v>3685.53</v>
      </c>
      <c r="I25" s="97" t="s">
        <v>20</v>
      </c>
      <c r="J25" s="74"/>
      <c r="K25" s="103" t="s">
        <v>460</v>
      </c>
    </row>
    <row r="26" spans="1:11" ht="47.25" customHeight="1">
      <c r="A26" s="96" t="s">
        <v>23</v>
      </c>
      <c r="B26" s="97" t="s">
        <v>461</v>
      </c>
      <c r="C26" s="111" t="s">
        <v>462</v>
      </c>
      <c r="D26" s="97" t="s">
        <v>463</v>
      </c>
      <c r="E26" s="109">
        <v>33529.410000000003</v>
      </c>
      <c r="F26" s="109">
        <v>39900</v>
      </c>
      <c r="G26" s="109">
        <v>10.93</v>
      </c>
      <c r="H26" s="109">
        <v>3685.53</v>
      </c>
      <c r="I26" s="97" t="s">
        <v>20</v>
      </c>
      <c r="J26" s="74"/>
      <c r="K26" s="125" t="s">
        <v>464</v>
      </c>
    </row>
    <row r="27" spans="1:11" ht="47.25" customHeight="1">
      <c r="A27" s="96" t="s">
        <v>28</v>
      </c>
      <c r="B27" s="97" t="s">
        <v>465</v>
      </c>
      <c r="C27" s="107" t="s">
        <v>466</v>
      </c>
      <c r="D27" s="97" t="s">
        <v>467</v>
      </c>
      <c r="E27" s="109">
        <v>0</v>
      </c>
      <c r="F27" s="109">
        <v>0</v>
      </c>
      <c r="G27" s="109">
        <v>0</v>
      </c>
      <c r="H27" s="109">
        <v>3685.53</v>
      </c>
      <c r="I27" s="97" t="s">
        <v>20</v>
      </c>
      <c r="J27" s="74"/>
      <c r="K27" s="125" t="s">
        <v>468</v>
      </c>
    </row>
    <row r="28" spans="1:11" ht="12.75" customHeight="1">
      <c r="E28" s="118"/>
    </row>
    <row r="29" spans="1:11" ht="12.75" customHeight="1"/>
    <row r="30" spans="1:11" ht="12.75" customHeight="1"/>
    <row r="31" spans="1:11" ht="12.75" customHeight="1"/>
    <row r="32" spans="1: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sheetData>
  <mergeCells count="6">
    <mergeCell ref="A18:K18"/>
    <mergeCell ref="A23:K23"/>
    <mergeCell ref="D2:H2"/>
    <mergeCell ref="A5:K5"/>
    <mergeCell ref="A7:K7"/>
    <mergeCell ref="A13:K13"/>
  </mergeCells>
  <hyperlinks>
    <hyperlink ref="C9" r:id="rId1" xr:uid="{00000000-0004-0000-0D00-000000000000}"/>
    <hyperlink ref="C10" r:id="rId2" xr:uid="{00000000-0004-0000-0D00-000001000000}"/>
    <hyperlink ref="C11" r:id="rId3" xr:uid="{00000000-0004-0000-0D00-000002000000}"/>
    <hyperlink ref="C15" r:id="rId4" xr:uid="{00000000-0004-0000-0D00-000003000000}"/>
    <hyperlink ref="C16" r:id="rId5" xr:uid="{00000000-0004-0000-0D00-000004000000}"/>
    <hyperlink ref="C17" r:id="rId6" xr:uid="{00000000-0004-0000-0D00-000005000000}"/>
    <hyperlink ref="C20" r:id="rId7" xr:uid="{00000000-0004-0000-0D00-000006000000}"/>
    <hyperlink ref="C21" r:id="rId8" xr:uid="{00000000-0004-0000-0D00-000007000000}"/>
    <hyperlink ref="C22" r:id="rId9" xr:uid="{00000000-0004-0000-0D00-000008000000}"/>
    <hyperlink ref="C25" r:id="rId10" xr:uid="{00000000-0004-0000-0D00-000009000000}"/>
    <hyperlink ref="C26" r:id="rId11" xr:uid="{00000000-0004-0000-0D00-00000A000000}"/>
    <hyperlink ref="C27" r:id="rId12" xr:uid="{00000000-0004-0000-0D00-00000B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2:N27"/>
  <sheetViews>
    <sheetView topLeftCell="A16" workbookViewId="0">
      <selection activeCell="C5" sqref="C5"/>
    </sheetView>
  </sheetViews>
  <sheetFormatPr baseColWidth="10" defaultColWidth="12.6640625" defaultRowHeight="15" customHeight="1"/>
  <cols>
    <col min="2" max="2" width="20.88671875" bestFit="1" customWidth="1"/>
    <col min="3" max="3" width="15.6640625" customWidth="1"/>
    <col min="5" max="5" width="32.5546875" customWidth="1"/>
    <col min="6" max="6" width="16.6640625" customWidth="1"/>
    <col min="8" max="8" width="24.109375" customWidth="1"/>
  </cols>
  <sheetData>
    <row r="2" spans="2:14" ht="15" customHeight="1">
      <c r="B2" s="276" t="s">
        <v>469</v>
      </c>
      <c r="C2" s="278"/>
      <c r="E2" s="276" t="s">
        <v>470</v>
      </c>
      <c r="F2" s="278"/>
    </row>
    <row r="3" spans="2:14" ht="15" customHeight="1">
      <c r="B3" s="127" t="s">
        <v>471</v>
      </c>
      <c r="C3" s="128">
        <v>1750905</v>
      </c>
      <c r="E3" s="127" t="s">
        <v>472</v>
      </c>
      <c r="F3" s="128" t="s">
        <v>473</v>
      </c>
    </row>
    <row r="4" spans="2:14" ht="15" customHeight="1">
      <c r="B4" s="129" t="s">
        <v>474</v>
      </c>
      <c r="C4" s="130">
        <v>249095</v>
      </c>
      <c r="E4" s="131" t="s">
        <v>475</v>
      </c>
      <c r="F4" s="132" t="s">
        <v>476</v>
      </c>
    </row>
    <row r="5" spans="2:14" ht="15" customHeight="1">
      <c r="B5" s="133" t="s">
        <v>477</v>
      </c>
      <c r="C5" s="134">
        <v>22761765</v>
      </c>
      <c r="E5" s="131" t="s">
        <v>478</v>
      </c>
      <c r="F5" s="135">
        <v>3000000</v>
      </c>
    </row>
    <row r="6" spans="2:14" ht="15" customHeight="1">
      <c r="B6" s="136" t="s">
        <v>479</v>
      </c>
      <c r="C6" s="137">
        <f>SUM(C3:C5)</f>
        <v>24761765</v>
      </c>
      <c r="E6" s="138" t="s">
        <v>480</v>
      </c>
      <c r="F6" s="139">
        <v>7295</v>
      </c>
    </row>
    <row r="7" spans="2:14" ht="15" customHeight="1">
      <c r="B7" s="276" t="s">
        <v>481</v>
      </c>
      <c r="C7" s="278"/>
      <c r="E7" s="138" t="s">
        <v>482</v>
      </c>
      <c r="F7" s="139">
        <v>10213</v>
      </c>
    </row>
    <row r="8" spans="2:14" ht="15" customHeight="1">
      <c r="B8" s="127" t="s">
        <v>483</v>
      </c>
      <c r="C8" s="140">
        <v>0.02</v>
      </c>
      <c r="E8" s="298" t="s">
        <v>484</v>
      </c>
      <c r="F8" s="299"/>
      <c r="K8" s="141"/>
      <c r="L8" s="141"/>
      <c r="M8" s="141"/>
      <c r="N8" s="141"/>
    </row>
    <row r="9" spans="2:14" ht="15" customHeight="1">
      <c r="B9" s="129" t="s">
        <v>485</v>
      </c>
      <c r="C9" s="142">
        <v>0.03</v>
      </c>
      <c r="E9" s="143" t="s">
        <v>486</v>
      </c>
      <c r="F9" s="144">
        <v>9119</v>
      </c>
      <c r="K9" s="145"/>
      <c r="L9" s="141"/>
      <c r="M9" s="145"/>
      <c r="N9" s="146"/>
    </row>
    <row r="10" spans="2:14" ht="15" customHeight="1">
      <c r="B10" s="147" t="s">
        <v>487</v>
      </c>
      <c r="C10" s="148">
        <v>0.04</v>
      </c>
      <c r="E10" s="129" t="s">
        <v>488</v>
      </c>
      <c r="F10" s="149">
        <v>9848</v>
      </c>
      <c r="K10" s="145"/>
      <c r="L10" s="141"/>
      <c r="M10" s="146"/>
      <c r="N10" s="146"/>
    </row>
    <row r="11" spans="2:14" ht="15" customHeight="1">
      <c r="B11" s="150" t="s">
        <v>479</v>
      </c>
      <c r="C11" s="151">
        <f>SUM(C8:C10)</f>
        <v>0.09</v>
      </c>
      <c r="E11" s="131" t="s">
        <v>489</v>
      </c>
      <c r="F11" s="149">
        <v>12766</v>
      </c>
      <c r="K11" s="145"/>
      <c r="L11" s="141"/>
      <c r="M11" s="146"/>
      <c r="N11" s="146"/>
    </row>
    <row r="12" spans="2:14" ht="15" customHeight="1">
      <c r="B12" s="276" t="s">
        <v>490</v>
      </c>
      <c r="C12" s="278"/>
      <c r="E12" s="152" t="s">
        <v>491</v>
      </c>
      <c r="F12" s="153">
        <v>12766</v>
      </c>
      <c r="K12" s="145"/>
      <c r="L12" s="141"/>
      <c r="M12" s="146"/>
      <c r="N12" s="146"/>
    </row>
    <row r="13" spans="2:14" ht="15" customHeight="1">
      <c r="B13" s="127" t="s">
        <v>492</v>
      </c>
      <c r="C13" s="154">
        <v>8.3299999999999999E-2</v>
      </c>
      <c r="E13" s="143" t="s">
        <v>493</v>
      </c>
      <c r="F13" s="144">
        <v>12766</v>
      </c>
      <c r="K13" s="145"/>
      <c r="L13" s="141"/>
      <c r="M13" s="146"/>
      <c r="N13" s="146"/>
    </row>
    <row r="14" spans="2:14" ht="15" customHeight="1">
      <c r="B14" s="129" t="s">
        <v>494</v>
      </c>
      <c r="C14" s="155">
        <v>0.01</v>
      </c>
      <c r="E14" s="129" t="s">
        <v>495</v>
      </c>
      <c r="F14" s="149">
        <v>13787</v>
      </c>
      <c r="K14" s="145"/>
      <c r="L14" s="141"/>
      <c r="M14" s="146"/>
      <c r="N14" s="146"/>
    </row>
    <row r="15" spans="2:14" ht="15" customHeight="1">
      <c r="B15" s="129" t="s">
        <v>496</v>
      </c>
      <c r="C15" s="155">
        <v>8.3299999999999999E-2</v>
      </c>
      <c r="E15" s="147" t="s">
        <v>497</v>
      </c>
      <c r="F15" s="149">
        <v>17872</v>
      </c>
    </row>
    <row r="16" spans="2:14" ht="15" customHeight="1">
      <c r="B16" s="147" t="s">
        <v>498</v>
      </c>
      <c r="C16" s="156">
        <v>4.1700000000000001E-2</v>
      </c>
      <c r="E16" s="147" t="s">
        <v>499</v>
      </c>
      <c r="F16" s="149">
        <v>17872</v>
      </c>
    </row>
    <row r="17" spans="2:8" ht="15" customHeight="1">
      <c r="B17" s="150" t="s">
        <v>479</v>
      </c>
      <c r="C17" s="157">
        <f>SUM(C13:C16)</f>
        <v>0.21829999999999999</v>
      </c>
      <c r="E17" s="300" t="s">
        <v>500</v>
      </c>
      <c r="F17" s="301"/>
    </row>
    <row r="18" spans="2:8" ht="15" customHeight="1">
      <c r="B18" s="276" t="s">
        <v>501</v>
      </c>
      <c r="C18" s="278"/>
      <c r="E18" s="138" t="s">
        <v>502</v>
      </c>
      <c r="F18" s="158">
        <v>200000</v>
      </c>
    </row>
    <row r="19" spans="2:8" ht="15" customHeight="1">
      <c r="B19" s="297" t="s">
        <v>503</v>
      </c>
      <c r="C19" s="278"/>
    </row>
    <row r="20" spans="2:8" ht="15" customHeight="1">
      <c r="B20" s="127" t="s">
        <v>504</v>
      </c>
      <c r="C20" s="154">
        <v>8.5000000000000006E-2</v>
      </c>
      <c r="E20" s="276" t="s">
        <v>505</v>
      </c>
      <c r="F20" s="277"/>
      <c r="G20" s="277"/>
      <c r="H20" s="278"/>
    </row>
    <row r="21" spans="2:8" ht="15" customHeight="1">
      <c r="B21" s="133" t="s">
        <v>506</v>
      </c>
      <c r="C21" s="159">
        <v>0.04</v>
      </c>
      <c r="E21" s="160" t="s">
        <v>507</v>
      </c>
      <c r="F21" s="160" t="s">
        <v>508</v>
      </c>
      <c r="G21" s="160" t="s">
        <v>509</v>
      </c>
      <c r="H21" s="160" t="s">
        <v>510</v>
      </c>
    </row>
    <row r="22" spans="2:8" ht="15" customHeight="1">
      <c r="B22" s="297" t="s">
        <v>511</v>
      </c>
      <c r="C22" s="278"/>
      <c r="E22" s="161" t="s">
        <v>512</v>
      </c>
      <c r="F22" s="128">
        <v>57973</v>
      </c>
      <c r="G22" s="162">
        <f t="shared" ref="G22:G26" si="0">F22</f>
        <v>57973</v>
      </c>
      <c r="H22" s="162">
        <f t="shared" ref="H22:H26" si="1">G22*12</f>
        <v>695676</v>
      </c>
    </row>
    <row r="23" spans="2:8" ht="15" customHeight="1">
      <c r="B23" s="127" t="s">
        <v>504</v>
      </c>
      <c r="C23" s="154">
        <v>0.12</v>
      </c>
      <c r="E23" s="237" t="s">
        <v>572</v>
      </c>
      <c r="F23" s="100">
        <v>176900.84</v>
      </c>
      <c r="G23" s="163">
        <f t="shared" si="0"/>
        <v>176900.84</v>
      </c>
      <c r="H23" s="163">
        <f t="shared" si="1"/>
        <v>2122810.08</v>
      </c>
    </row>
    <row r="24" spans="2:8" ht="15" customHeight="1">
      <c r="B24" s="129" t="s">
        <v>506</v>
      </c>
      <c r="C24" s="155">
        <v>0.04</v>
      </c>
      <c r="E24" s="164" t="s">
        <v>513</v>
      </c>
      <c r="F24" s="130">
        <v>179000</v>
      </c>
      <c r="G24" s="163">
        <f t="shared" si="0"/>
        <v>179000</v>
      </c>
      <c r="H24" s="163">
        <f t="shared" si="1"/>
        <v>2148000</v>
      </c>
    </row>
    <row r="25" spans="2:8" ht="15" customHeight="1">
      <c r="B25" s="165" t="s">
        <v>514</v>
      </c>
      <c r="C25" s="166">
        <f t="shared" ref="C25:C26" si="2">SUM(C20+C23)</f>
        <v>0.20500000000000002</v>
      </c>
      <c r="E25" s="243" t="s">
        <v>579</v>
      </c>
      <c r="F25" s="130">
        <v>124167</v>
      </c>
      <c r="G25" s="163">
        <f t="shared" si="0"/>
        <v>124167</v>
      </c>
      <c r="H25" s="163">
        <f t="shared" si="1"/>
        <v>1490004</v>
      </c>
    </row>
    <row r="26" spans="2:8" ht="15" customHeight="1" thickBot="1">
      <c r="B26" s="167" t="s">
        <v>515</v>
      </c>
      <c r="C26" s="168">
        <f t="shared" si="2"/>
        <v>0.08</v>
      </c>
      <c r="E26" s="169"/>
      <c r="F26" s="170"/>
      <c r="G26" s="171">
        <f t="shared" si="0"/>
        <v>0</v>
      </c>
      <c r="H26" s="163">
        <f t="shared" si="1"/>
        <v>0</v>
      </c>
    </row>
    <row r="27" spans="2:8" ht="15" customHeight="1">
      <c r="B27" s="172" t="s">
        <v>516</v>
      </c>
      <c r="C27" s="173">
        <f>SUM(C11+C17+C25)</f>
        <v>0.51330000000000009</v>
      </c>
      <c r="E27" s="172" t="s">
        <v>479</v>
      </c>
      <c r="F27" s="174">
        <f t="shared" ref="F27:H27" si="3">SUM(F22:F26)</f>
        <v>538040.84</v>
      </c>
      <c r="G27" s="174">
        <f t="shared" si="3"/>
        <v>538040.84</v>
      </c>
      <c r="H27" s="174">
        <f t="shared" si="3"/>
        <v>6456490.0800000001</v>
      </c>
    </row>
  </sheetData>
  <mergeCells count="10">
    <mergeCell ref="B19:C19"/>
    <mergeCell ref="E20:H20"/>
    <mergeCell ref="B22:C22"/>
    <mergeCell ref="B2:C2"/>
    <mergeCell ref="E2:F2"/>
    <mergeCell ref="B7:C7"/>
    <mergeCell ref="E8:F8"/>
    <mergeCell ref="B12:C12"/>
    <mergeCell ref="E17:F17"/>
    <mergeCell ref="B18:C1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B2:I36"/>
  <sheetViews>
    <sheetView topLeftCell="C1" workbookViewId="0">
      <selection activeCell="I6" sqref="I6"/>
    </sheetView>
  </sheetViews>
  <sheetFormatPr baseColWidth="10" defaultColWidth="12.6640625" defaultRowHeight="15" customHeight="1"/>
  <cols>
    <col min="2" max="2" width="35.5546875" customWidth="1"/>
    <col min="3" max="3" width="32.77734375" customWidth="1"/>
    <col min="4" max="6" width="24" customWidth="1"/>
    <col min="8" max="9" width="18.109375" customWidth="1"/>
  </cols>
  <sheetData>
    <row r="2" spans="2:9" ht="15" customHeight="1" thickBot="1">
      <c r="B2" s="276" t="s">
        <v>517</v>
      </c>
      <c r="C2" s="277"/>
      <c r="D2" s="277"/>
      <c r="E2" s="277"/>
      <c r="F2" s="278"/>
      <c r="G2" s="175"/>
      <c r="H2" s="302" t="s">
        <v>518</v>
      </c>
      <c r="I2" s="303"/>
    </row>
    <row r="3" spans="2:9" ht="15" customHeight="1" thickBot="1">
      <c r="B3" s="160" t="s">
        <v>519</v>
      </c>
      <c r="C3" s="177" t="s">
        <v>520</v>
      </c>
      <c r="D3" s="160" t="s">
        <v>521</v>
      </c>
      <c r="E3" s="177" t="s">
        <v>522</v>
      </c>
      <c r="F3" s="177" t="s">
        <v>479</v>
      </c>
      <c r="G3" s="175"/>
      <c r="H3" s="178" t="s">
        <v>517</v>
      </c>
      <c r="I3" s="162">
        <f>F8</f>
        <v>12200000</v>
      </c>
    </row>
    <row r="4" spans="2:9" ht="15" customHeight="1" thickBot="1">
      <c r="B4" s="241" t="s">
        <v>573</v>
      </c>
      <c r="C4" s="239" t="s">
        <v>574</v>
      </c>
      <c r="D4" s="179">
        <v>3</v>
      </c>
      <c r="E4" s="242">
        <v>2500000</v>
      </c>
      <c r="F4" s="180">
        <f t="shared" ref="F4:F7" si="0">D4*E4</f>
        <v>7500000</v>
      </c>
      <c r="G4" s="175"/>
      <c r="H4" s="181" t="s">
        <v>523</v>
      </c>
      <c r="I4" s="163">
        <f>F22</f>
        <v>1262400</v>
      </c>
    </row>
    <row r="5" spans="2:9" ht="15" customHeight="1" thickBot="1">
      <c r="B5" s="241" t="s">
        <v>575</v>
      </c>
      <c r="C5" s="239" t="s">
        <v>574</v>
      </c>
      <c r="D5" s="183">
        <v>2</v>
      </c>
      <c r="E5" s="184">
        <v>700000</v>
      </c>
      <c r="F5" s="185">
        <f t="shared" si="0"/>
        <v>1400000</v>
      </c>
      <c r="G5" s="175"/>
      <c r="H5" s="186" t="s">
        <v>524</v>
      </c>
      <c r="I5" s="187">
        <f>F36</f>
        <v>9827670</v>
      </c>
    </row>
    <row r="6" spans="2:9" ht="15" customHeight="1" thickBot="1">
      <c r="B6" s="241" t="s">
        <v>576</v>
      </c>
      <c r="C6" s="239" t="s">
        <v>574</v>
      </c>
      <c r="D6" s="189">
        <v>5</v>
      </c>
      <c r="E6" s="190">
        <v>300000</v>
      </c>
      <c r="F6" s="185">
        <f t="shared" si="0"/>
        <v>1500000</v>
      </c>
      <c r="G6" s="175"/>
      <c r="H6" s="191" t="s">
        <v>479</v>
      </c>
      <c r="I6" s="192">
        <f>SUM(I3:I5)</f>
        <v>23290070</v>
      </c>
    </row>
    <row r="7" spans="2:9" ht="15" customHeight="1" thickBot="1">
      <c r="B7" s="241" t="s">
        <v>578</v>
      </c>
      <c r="C7" s="239" t="s">
        <v>574</v>
      </c>
      <c r="D7" s="193">
        <v>2</v>
      </c>
      <c r="E7" s="194">
        <v>900000</v>
      </c>
      <c r="F7" s="185">
        <f t="shared" si="0"/>
        <v>1800000</v>
      </c>
      <c r="G7" s="175"/>
      <c r="H7" s="175"/>
      <c r="I7" s="175"/>
    </row>
    <row r="8" spans="2:9" ht="15" customHeight="1" thickBot="1">
      <c r="B8" s="240" t="s">
        <v>479</v>
      </c>
      <c r="C8" s="195"/>
      <c r="D8" s="196"/>
      <c r="E8" s="195"/>
      <c r="F8" s="174">
        <f>SUM(F4:F7)</f>
        <v>12200000</v>
      </c>
      <c r="G8" s="175"/>
      <c r="H8" s="175"/>
      <c r="I8" s="175"/>
    </row>
    <row r="9" spans="2:9" ht="15" customHeight="1">
      <c r="B9" s="175"/>
      <c r="C9" s="175"/>
      <c r="D9" s="175"/>
      <c r="E9" s="175"/>
      <c r="F9" s="175"/>
      <c r="G9" s="175"/>
      <c r="H9" s="175"/>
      <c r="I9" s="175"/>
    </row>
    <row r="10" spans="2:9" ht="15" customHeight="1">
      <c r="B10" s="175"/>
      <c r="C10" s="175"/>
      <c r="D10" s="175"/>
      <c r="E10" s="175"/>
      <c r="F10" s="175"/>
      <c r="G10" s="175"/>
      <c r="H10" s="175"/>
      <c r="I10" s="175"/>
    </row>
    <row r="11" spans="2:9" ht="15" customHeight="1">
      <c r="B11" s="276" t="s">
        <v>523</v>
      </c>
      <c r="C11" s="277"/>
      <c r="D11" s="277"/>
      <c r="E11" s="277"/>
      <c r="F11" s="278"/>
      <c r="G11" s="175"/>
      <c r="H11" s="175"/>
      <c r="I11" s="175"/>
    </row>
    <row r="12" spans="2:9" ht="15" customHeight="1">
      <c r="B12" s="177" t="s">
        <v>519</v>
      </c>
      <c r="C12" s="177" t="s">
        <v>520</v>
      </c>
      <c r="D12" s="160" t="s">
        <v>521</v>
      </c>
      <c r="E12" s="177" t="s">
        <v>522</v>
      </c>
      <c r="F12" s="177" t="s">
        <v>479</v>
      </c>
      <c r="G12" s="175"/>
      <c r="H12" s="175"/>
      <c r="I12" s="175"/>
    </row>
    <row r="13" spans="2:9" ht="15" customHeight="1">
      <c r="B13" s="161" t="s">
        <v>525</v>
      </c>
      <c r="C13" s="197" t="s">
        <v>526</v>
      </c>
      <c r="D13" s="198">
        <v>3</v>
      </c>
      <c r="E13" s="199">
        <v>249900</v>
      </c>
      <c r="F13" s="200">
        <f t="shared" ref="F13:F18" si="1">D13*E13</f>
        <v>749700</v>
      </c>
      <c r="G13" s="175"/>
      <c r="H13" s="175"/>
      <c r="I13" s="175"/>
    </row>
    <row r="14" spans="2:9" ht="15" customHeight="1">
      <c r="B14" s="201" t="s">
        <v>527</v>
      </c>
      <c r="C14" s="202" t="s">
        <v>526</v>
      </c>
      <c r="D14" s="203">
        <v>3</v>
      </c>
      <c r="E14" s="204">
        <v>149900</v>
      </c>
      <c r="F14" s="200">
        <f t="shared" si="1"/>
        <v>449700</v>
      </c>
      <c r="G14" s="175"/>
      <c r="H14" s="175"/>
      <c r="I14" s="175"/>
    </row>
    <row r="15" spans="2:9" ht="15" customHeight="1">
      <c r="B15" s="201" t="s">
        <v>528</v>
      </c>
      <c r="C15" s="202" t="s">
        <v>526</v>
      </c>
      <c r="D15" s="205">
        <v>3</v>
      </c>
      <c r="E15" s="206">
        <v>21000</v>
      </c>
      <c r="F15" s="200">
        <f t="shared" si="1"/>
        <v>63000</v>
      </c>
      <c r="G15" s="175"/>
      <c r="H15" s="175"/>
      <c r="I15" s="175"/>
    </row>
    <row r="16" spans="2:9" ht="15" customHeight="1">
      <c r="B16" s="201"/>
      <c r="C16" s="202"/>
      <c r="D16" s="205"/>
      <c r="E16" s="206"/>
      <c r="F16" s="200">
        <f t="shared" si="1"/>
        <v>0</v>
      </c>
      <c r="G16" s="175"/>
      <c r="H16" s="175"/>
      <c r="I16" s="175"/>
    </row>
    <row r="17" spans="2:9" ht="15" customHeight="1">
      <c r="B17" s="201"/>
      <c r="C17" s="207"/>
      <c r="D17" s="208"/>
      <c r="E17" s="206"/>
      <c r="F17" s="200">
        <f t="shared" si="1"/>
        <v>0</v>
      </c>
      <c r="G17" s="175"/>
      <c r="H17" s="175"/>
      <c r="I17" s="175"/>
    </row>
    <row r="18" spans="2:9" ht="15" customHeight="1">
      <c r="B18" s="201"/>
      <c r="C18" s="207"/>
      <c r="D18" s="208"/>
      <c r="E18" s="206"/>
      <c r="F18" s="200">
        <f t="shared" si="1"/>
        <v>0</v>
      </c>
      <c r="G18" s="175"/>
      <c r="H18" s="175"/>
      <c r="I18" s="175"/>
    </row>
    <row r="19" spans="2:9" ht="15" customHeight="1">
      <c r="B19" s="164"/>
      <c r="C19" s="182"/>
      <c r="D19" s="183"/>
      <c r="E19" s="209"/>
      <c r="F19" s="185">
        <f t="shared" ref="F19:F21" si="2">(D19*E19)</f>
        <v>0</v>
      </c>
      <c r="G19" s="175"/>
      <c r="H19" s="175"/>
      <c r="I19" s="175"/>
    </row>
    <row r="20" spans="2:9" ht="15" customHeight="1">
      <c r="B20" s="169"/>
      <c r="C20" s="188"/>
      <c r="D20" s="189"/>
      <c r="E20" s="194"/>
      <c r="F20" s="185">
        <f t="shared" si="2"/>
        <v>0</v>
      </c>
      <c r="G20" s="175"/>
      <c r="H20" s="175"/>
      <c r="I20" s="175"/>
    </row>
    <row r="21" spans="2:9" ht="15" customHeight="1">
      <c r="B21" s="169"/>
      <c r="C21" s="188"/>
      <c r="D21" s="193"/>
      <c r="E21" s="194"/>
      <c r="F21" s="185">
        <f t="shared" si="2"/>
        <v>0</v>
      </c>
      <c r="G21" s="175"/>
      <c r="H21" s="175"/>
      <c r="I21" s="175"/>
    </row>
    <row r="22" spans="2:9" ht="15" customHeight="1">
      <c r="B22" s="172" t="s">
        <v>479</v>
      </c>
      <c r="C22" s="195"/>
      <c r="D22" s="196"/>
      <c r="E22" s="195"/>
      <c r="F22" s="174">
        <f>SUM(F13:F21)</f>
        <v>1262400</v>
      </c>
      <c r="G22" s="175"/>
      <c r="H22" s="175"/>
      <c r="I22" s="175"/>
    </row>
    <row r="23" spans="2:9" ht="15" customHeight="1">
      <c r="B23" s="175"/>
      <c r="C23" s="175"/>
      <c r="D23" s="175"/>
      <c r="E23" s="175"/>
      <c r="F23" s="175"/>
      <c r="G23" s="175"/>
      <c r="H23" s="175"/>
      <c r="I23" s="175"/>
    </row>
    <row r="24" spans="2:9" ht="15" customHeight="1">
      <c r="B24" s="175"/>
      <c r="C24" s="175"/>
      <c r="D24" s="175"/>
      <c r="E24" s="175"/>
      <c r="F24" s="175"/>
      <c r="G24" s="175"/>
      <c r="H24" s="175"/>
      <c r="I24" s="175"/>
    </row>
    <row r="25" spans="2:9" ht="15" customHeight="1" thickBot="1">
      <c r="B25" s="304" t="s">
        <v>577</v>
      </c>
      <c r="C25" s="277"/>
      <c r="D25" s="277"/>
      <c r="E25" s="277"/>
      <c r="F25" s="278"/>
      <c r="G25" s="175"/>
      <c r="H25" s="175"/>
      <c r="I25" s="175"/>
    </row>
    <row r="26" spans="2:9" ht="15" customHeight="1" thickBot="1">
      <c r="B26" s="160" t="s">
        <v>519</v>
      </c>
      <c r="C26" s="177" t="s">
        <v>520</v>
      </c>
      <c r="D26" s="160" t="s">
        <v>521</v>
      </c>
      <c r="E26" s="177" t="s">
        <v>522</v>
      </c>
      <c r="F26" s="177" t="s">
        <v>479</v>
      </c>
      <c r="G26" s="175"/>
      <c r="H26" s="175"/>
      <c r="I26" s="175"/>
    </row>
    <row r="27" spans="2:9" ht="15" customHeight="1">
      <c r="B27" s="248" t="s">
        <v>18</v>
      </c>
      <c r="C27" s="244" t="s">
        <v>526</v>
      </c>
      <c r="D27" s="198">
        <v>2</v>
      </c>
      <c r="E27" s="199">
        <v>1684400</v>
      </c>
      <c r="F27" s="180">
        <f t="shared" ref="F27:F32" si="3">D27*E27</f>
        <v>3368800</v>
      </c>
      <c r="G27" s="175"/>
      <c r="H27" s="175"/>
      <c r="I27" s="175"/>
    </row>
    <row r="28" spans="2:9" ht="14.4">
      <c r="B28" s="249" t="s">
        <v>130</v>
      </c>
      <c r="C28" s="210" t="s">
        <v>526</v>
      </c>
      <c r="D28" s="203">
        <v>2</v>
      </c>
      <c r="E28" s="204">
        <v>1979900</v>
      </c>
      <c r="F28" s="200">
        <f t="shared" si="3"/>
        <v>3959800</v>
      </c>
      <c r="G28" s="175"/>
      <c r="H28" s="175"/>
      <c r="I28" s="175"/>
    </row>
    <row r="29" spans="2:9" ht="52.8">
      <c r="B29" s="273" t="s">
        <v>565</v>
      </c>
      <c r="C29" s="274" t="s">
        <v>526</v>
      </c>
      <c r="D29" s="205">
        <v>1</v>
      </c>
      <c r="E29" s="18">
        <v>2499070</v>
      </c>
      <c r="F29" s="275">
        <f t="shared" si="3"/>
        <v>2499070</v>
      </c>
      <c r="G29" s="175"/>
      <c r="H29" s="175"/>
      <c r="I29" s="175"/>
    </row>
    <row r="30" spans="2:9" ht="14.4">
      <c r="B30" s="251"/>
      <c r="C30" s="245"/>
      <c r="D30" s="208"/>
      <c r="E30" s="206"/>
      <c r="F30" s="200">
        <f t="shared" si="3"/>
        <v>0</v>
      </c>
      <c r="G30" s="175"/>
      <c r="H30" s="175"/>
      <c r="I30" s="175"/>
    </row>
    <row r="31" spans="2:9" ht="14.4">
      <c r="B31" s="250"/>
      <c r="C31" s="245"/>
      <c r="D31" s="208"/>
      <c r="E31" s="206"/>
      <c r="F31" s="200">
        <f t="shared" si="3"/>
        <v>0</v>
      </c>
      <c r="G31" s="175"/>
      <c r="H31" s="175"/>
      <c r="I31" s="175"/>
    </row>
    <row r="32" spans="2:9" ht="14.4">
      <c r="B32" s="250"/>
      <c r="C32" s="245"/>
      <c r="D32" s="208"/>
      <c r="E32" s="206"/>
      <c r="F32" s="200">
        <f t="shared" si="3"/>
        <v>0</v>
      </c>
      <c r="G32" s="175"/>
      <c r="H32" s="175"/>
      <c r="I32" s="175"/>
    </row>
    <row r="33" spans="2:9" ht="14.4">
      <c r="B33" s="250"/>
      <c r="C33" s="246"/>
      <c r="D33" s="183"/>
      <c r="E33" s="209"/>
      <c r="F33" s="185">
        <f t="shared" ref="F33:F35" si="4">(D33*E33)</f>
        <v>0</v>
      </c>
      <c r="G33" s="175"/>
      <c r="H33" s="175"/>
      <c r="I33" s="175"/>
    </row>
    <row r="34" spans="2:9" ht="14.4">
      <c r="B34" s="250"/>
      <c r="C34" s="247"/>
      <c r="D34" s="189"/>
      <c r="E34" s="194"/>
      <c r="F34" s="185">
        <f t="shared" si="4"/>
        <v>0</v>
      </c>
      <c r="G34" s="175"/>
      <c r="H34" s="175"/>
      <c r="I34" s="175"/>
    </row>
    <row r="35" spans="2:9" thickBot="1">
      <c r="B35" s="250"/>
      <c r="C35" s="247"/>
      <c r="D35" s="193"/>
      <c r="E35" s="194"/>
      <c r="F35" s="185">
        <f t="shared" si="4"/>
        <v>0</v>
      </c>
      <c r="G35" s="175"/>
      <c r="H35" s="175"/>
      <c r="I35" s="175"/>
    </row>
    <row r="36" spans="2:9" thickBot="1">
      <c r="B36" s="240" t="s">
        <v>479</v>
      </c>
      <c r="C36" s="195"/>
      <c r="D36" s="196"/>
      <c r="E36" s="195"/>
      <c r="F36" s="174">
        <f>SUM(F27:F35)</f>
        <v>9827670</v>
      </c>
      <c r="G36" s="175"/>
    </row>
  </sheetData>
  <mergeCells count="4">
    <mergeCell ref="B2:F2"/>
    <mergeCell ref="H2:I2"/>
    <mergeCell ref="B11:F11"/>
    <mergeCell ref="B25:F2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B2:L17"/>
  <sheetViews>
    <sheetView workbookViewId="0">
      <selection activeCell="I16" sqref="I16"/>
    </sheetView>
  </sheetViews>
  <sheetFormatPr baseColWidth="10" defaultColWidth="12.6640625" defaultRowHeight="15" customHeight="1"/>
  <cols>
    <col min="2" max="2" width="18.109375" customWidth="1"/>
    <col min="3" max="3" width="21.77734375" bestFit="1" customWidth="1"/>
    <col min="4" max="10" width="17.33203125" customWidth="1"/>
    <col min="11" max="11" width="20" customWidth="1"/>
    <col min="12" max="12" width="17.33203125" customWidth="1"/>
  </cols>
  <sheetData>
    <row r="2" spans="2:12" ht="15" customHeight="1">
      <c r="B2" s="276" t="s">
        <v>529</v>
      </c>
      <c r="C2" s="277"/>
      <c r="D2" s="278"/>
      <c r="E2" s="276" t="s">
        <v>503</v>
      </c>
      <c r="F2" s="277"/>
      <c r="G2" s="278"/>
      <c r="H2" s="276" t="s">
        <v>511</v>
      </c>
      <c r="I2" s="277"/>
      <c r="J2" s="277"/>
      <c r="K2" s="126" t="s">
        <v>530</v>
      </c>
      <c r="L2" s="211" t="s">
        <v>531</v>
      </c>
    </row>
    <row r="3" spans="2:12" ht="15" customHeight="1">
      <c r="B3" s="160" t="s">
        <v>532</v>
      </c>
      <c r="C3" s="160" t="s">
        <v>533</v>
      </c>
      <c r="D3" s="160" t="s">
        <v>534</v>
      </c>
      <c r="E3" s="160" t="s">
        <v>506</v>
      </c>
      <c r="F3" s="160" t="s">
        <v>504</v>
      </c>
      <c r="G3" s="160" t="s">
        <v>479</v>
      </c>
      <c r="H3" s="160" t="s">
        <v>506</v>
      </c>
      <c r="I3" s="160" t="s">
        <v>504</v>
      </c>
      <c r="J3" s="160" t="s">
        <v>479</v>
      </c>
      <c r="K3" s="176" t="s">
        <v>506</v>
      </c>
      <c r="L3" s="211" t="s">
        <v>479</v>
      </c>
    </row>
    <row r="4" spans="2:12" ht="15" customHeight="1">
      <c r="B4" s="161" t="s">
        <v>535</v>
      </c>
      <c r="C4" s="212">
        <v>1750905</v>
      </c>
      <c r="D4" s="213">
        <v>30</v>
      </c>
      <c r="E4" s="214">
        <f>C4*ParaFiscales!$C$21</f>
        <v>70036.2</v>
      </c>
      <c r="F4" s="215">
        <f>C4*ParaFiscales!$C$20</f>
        <v>148826.92500000002</v>
      </c>
      <c r="G4" s="215">
        <f t="shared" ref="G4:G10" si="0">SUM(E4:F4)</f>
        <v>218863.125</v>
      </c>
      <c r="H4" s="215">
        <f>C4*ParaFiscales!$C$24</f>
        <v>70036.2</v>
      </c>
      <c r="I4" s="215">
        <f>C4*ParaFiscales!$C$23</f>
        <v>210108.6</v>
      </c>
      <c r="J4" s="215">
        <f t="shared" ref="J4:J10" si="1">SUM(H4:I4)</f>
        <v>280144.8</v>
      </c>
      <c r="K4" s="212">
        <v>249095</v>
      </c>
      <c r="L4" s="216">
        <f t="shared" ref="L4:L10" si="2">(C4-E4-H4+K4)</f>
        <v>1859927.6</v>
      </c>
    </row>
    <row r="5" spans="2:12" ht="15" customHeight="1">
      <c r="B5" s="161" t="s">
        <v>535</v>
      </c>
      <c r="C5" s="212">
        <v>1750905</v>
      </c>
      <c r="D5" s="217">
        <v>30</v>
      </c>
      <c r="E5" s="214">
        <f>C5*ParaFiscales!$C$21</f>
        <v>70036.2</v>
      </c>
      <c r="F5" s="215">
        <f>C5*ParaFiscales!$C$20</f>
        <v>148826.92500000002</v>
      </c>
      <c r="G5" s="218">
        <f t="shared" si="0"/>
        <v>218863.125</v>
      </c>
      <c r="H5" s="215">
        <f>C5*ParaFiscales!$C$24</f>
        <v>70036.2</v>
      </c>
      <c r="I5" s="215">
        <f>C5*ParaFiscales!$C$23</f>
        <v>210108.6</v>
      </c>
      <c r="J5" s="218">
        <f t="shared" si="1"/>
        <v>280144.8</v>
      </c>
      <c r="K5" s="212">
        <v>249095</v>
      </c>
      <c r="L5" s="216">
        <f t="shared" si="2"/>
        <v>1859927.6</v>
      </c>
    </row>
    <row r="6" spans="2:12" ht="15" customHeight="1" thickBot="1">
      <c r="B6" s="161" t="s">
        <v>535</v>
      </c>
      <c r="C6" s="212">
        <v>1750905</v>
      </c>
      <c r="D6" s="217">
        <v>30</v>
      </c>
      <c r="E6" s="214">
        <f>C6*ParaFiscales!$C$21</f>
        <v>70036.2</v>
      </c>
      <c r="F6" s="215">
        <f>C6*ParaFiscales!$C$20</f>
        <v>148826.92500000002</v>
      </c>
      <c r="G6" s="218">
        <f t="shared" si="0"/>
        <v>218863.125</v>
      </c>
      <c r="H6" s="215">
        <f>C6*ParaFiscales!$C$24</f>
        <v>70036.2</v>
      </c>
      <c r="I6" s="215">
        <f>C6*ParaFiscales!$C$23</f>
        <v>210108.6</v>
      </c>
      <c r="J6" s="218">
        <f t="shared" si="1"/>
        <v>280144.8</v>
      </c>
      <c r="K6" s="212">
        <v>249095</v>
      </c>
      <c r="L6" s="216">
        <f t="shared" si="2"/>
        <v>1859927.6</v>
      </c>
    </row>
    <row r="7" spans="2:12" ht="15" customHeight="1">
      <c r="B7" s="238" t="s">
        <v>535</v>
      </c>
      <c r="C7" s="212">
        <v>1750905</v>
      </c>
      <c r="D7" s="217">
        <v>30</v>
      </c>
      <c r="E7" s="214">
        <f>C7*ParaFiscales!$C$21</f>
        <v>70036.2</v>
      </c>
      <c r="F7" s="215">
        <f>C7*ParaFiscales!$C$20</f>
        <v>148826.92500000002</v>
      </c>
      <c r="G7" s="218">
        <f t="shared" si="0"/>
        <v>218863.125</v>
      </c>
      <c r="H7" s="215">
        <f>C7*ParaFiscales!$C$24</f>
        <v>70036.2</v>
      </c>
      <c r="I7" s="215">
        <f>C7*ParaFiscales!$C$23</f>
        <v>210108.6</v>
      </c>
      <c r="J7" s="218">
        <f t="shared" si="1"/>
        <v>280144.8</v>
      </c>
      <c r="K7" s="212">
        <v>249095</v>
      </c>
      <c r="L7" s="216">
        <f t="shared" si="2"/>
        <v>1859927.6</v>
      </c>
    </row>
    <row r="8" spans="2:12" ht="15" customHeight="1">
      <c r="B8" s="164" t="s">
        <v>535</v>
      </c>
      <c r="C8" s="219">
        <v>1750905</v>
      </c>
      <c r="D8" s="183">
        <v>30</v>
      </c>
      <c r="E8" s="220">
        <v>70036.2</v>
      </c>
      <c r="F8" s="218">
        <v>148826.92500000002</v>
      </c>
      <c r="G8" s="218">
        <v>218863.125</v>
      </c>
      <c r="H8" s="218">
        <v>70036.2</v>
      </c>
      <c r="I8" s="218">
        <v>210108.6</v>
      </c>
      <c r="J8" s="218">
        <v>280144.8</v>
      </c>
      <c r="K8" s="219">
        <v>249095</v>
      </c>
      <c r="L8" s="216">
        <v>1859927.6</v>
      </c>
    </row>
    <row r="9" spans="2:12" ht="15" customHeight="1">
      <c r="B9" s="164"/>
      <c r="C9" s="219"/>
      <c r="D9" s="221"/>
      <c r="E9" s="220">
        <f>C9*ParaFiscales!$C$22</f>
        <v>0</v>
      </c>
      <c r="F9" s="218">
        <f>C9*ParaFiscales!$C$21</f>
        <v>0</v>
      </c>
      <c r="G9" s="218">
        <f t="shared" si="0"/>
        <v>0</v>
      </c>
      <c r="H9" s="218">
        <f>C9*ParaFiscales!$C$25</f>
        <v>0</v>
      </c>
      <c r="I9" s="218">
        <f>C9*ParaFiscales!$C$24</f>
        <v>0</v>
      </c>
      <c r="J9" s="218">
        <f t="shared" si="1"/>
        <v>0</v>
      </c>
      <c r="K9" s="219"/>
      <c r="L9" s="216">
        <f t="shared" si="2"/>
        <v>0</v>
      </c>
    </row>
    <row r="10" spans="2:12" ht="15" customHeight="1">
      <c r="B10" s="169"/>
      <c r="C10" s="222"/>
      <c r="D10" s="170"/>
      <c r="E10" s="220">
        <f>C10*ParaFiscales!$C$22</f>
        <v>0</v>
      </c>
      <c r="F10" s="218">
        <f>C10*ParaFiscales!$C$21</f>
        <v>0</v>
      </c>
      <c r="G10" s="218">
        <f t="shared" si="0"/>
        <v>0</v>
      </c>
      <c r="H10" s="218">
        <f>C10*ParaFiscales!$C$25</f>
        <v>0</v>
      </c>
      <c r="I10" s="218">
        <f>C10*ParaFiscales!$C$24</f>
        <v>0</v>
      </c>
      <c r="J10" s="218">
        <f t="shared" si="1"/>
        <v>0</v>
      </c>
      <c r="K10" s="222"/>
      <c r="L10" s="216">
        <f t="shared" si="2"/>
        <v>0</v>
      </c>
    </row>
    <row r="11" spans="2:12" ht="15" customHeight="1">
      <c r="B11" s="172" t="s">
        <v>516</v>
      </c>
      <c r="C11" s="174">
        <f>SUM(C4:C10)</f>
        <v>8754525</v>
      </c>
      <c r="D11" s="195"/>
      <c r="E11" s="174">
        <f t="shared" ref="E11:L11" si="3">SUM(E4:E10)</f>
        <v>350181</v>
      </c>
      <c r="F11" s="174">
        <f t="shared" si="3"/>
        <v>744134.62500000012</v>
      </c>
      <c r="G11" s="174">
        <f t="shared" si="3"/>
        <v>1094315.625</v>
      </c>
      <c r="H11" s="174">
        <f t="shared" si="3"/>
        <v>350181</v>
      </c>
      <c r="I11" s="174">
        <f t="shared" si="3"/>
        <v>1050543</v>
      </c>
      <c r="J11" s="174">
        <f t="shared" si="3"/>
        <v>1400724</v>
      </c>
      <c r="K11" s="223">
        <f t="shared" si="3"/>
        <v>1245475</v>
      </c>
      <c r="L11" s="224">
        <f t="shared" si="3"/>
        <v>9299638</v>
      </c>
    </row>
    <row r="14" spans="2:12" ht="15" customHeight="1">
      <c r="C14" s="279" t="s">
        <v>589</v>
      </c>
      <c r="D14" s="280"/>
      <c r="E14" s="280"/>
      <c r="F14" s="281" t="s">
        <v>596</v>
      </c>
      <c r="G14" s="282"/>
      <c r="H14" s="282"/>
      <c r="I14" s="283"/>
    </row>
    <row r="15" spans="2:12" ht="15" customHeight="1">
      <c r="C15" s="268" t="s">
        <v>590</v>
      </c>
      <c r="D15" s="268" t="s">
        <v>591</v>
      </c>
      <c r="E15" s="268" t="s">
        <v>592</v>
      </c>
      <c r="F15" s="268" t="s">
        <v>593</v>
      </c>
      <c r="G15" s="268" t="s">
        <v>594</v>
      </c>
      <c r="H15" s="268" t="s">
        <v>595</v>
      </c>
      <c r="I15" s="268" t="s">
        <v>563</v>
      </c>
    </row>
    <row r="16" spans="2:12" ht="15" customHeight="1">
      <c r="C16" s="269">
        <v>5</v>
      </c>
      <c r="D16" s="270">
        <f>SUM(C4:C8)</f>
        <v>8754525</v>
      </c>
      <c r="E16" s="269">
        <v>8</v>
      </c>
      <c r="F16" s="270">
        <f>SUM(E4:E8)</f>
        <v>350181</v>
      </c>
      <c r="G16" s="270">
        <f>SUM(H4:H8)</f>
        <v>350181</v>
      </c>
      <c r="H16" s="270">
        <f>SUM(K4:K8)</f>
        <v>1245475</v>
      </c>
      <c r="I16" s="271">
        <f>D16+G16+F16+H16*E16</f>
        <v>19418687</v>
      </c>
    </row>
    <row r="17" spans="3:9" ht="15" customHeight="1">
      <c r="C17" s="272"/>
      <c r="D17" s="272"/>
      <c r="E17" s="272"/>
      <c r="F17" s="272"/>
      <c r="G17" s="272"/>
      <c r="H17" s="272"/>
      <c r="I17" s="272"/>
    </row>
  </sheetData>
  <mergeCells count="5">
    <mergeCell ref="B2:D2"/>
    <mergeCell ref="E2:G2"/>
    <mergeCell ref="H2:J2"/>
    <mergeCell ref="C14:E14"/>
    <mergeCell ref="F14:I1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E04AF-F6BC-4BBD-B23A-DB09F9471A3B}">
  <dimension ref="B4:C11"/>
  <sheetViews>
    <sheetView tabSelected="1" workbookViewId="0">
      <selection activeCell="C10" sqref="C10"/>
    </sheetView>
  </sheetViews>
  <sheetFormatPr baseColWidth="10" defaultRowHeight="13.2"/>
  <cols>
    <col min="2" max="2" width="31.6640625" customWidth="1"/>
    <col min="3" max="3" width="35.88671875" customWidth="1"/>
    <col min="5" max="5" width="11.5546875" customWidth="1"/>
  </cols>
  <sheetData>
    <row r="4" spans="2:3" ht="13.8" thickBot="1"/>
    <row r="5" spans="2:3" ht="15" thickBot="1">
      <c r="B5" s="276" t="s">
        <v>597</v>
      </c>
      <c r="C5" s="324"/>
    </row>
    <row r="6" spans="2:3" ht="15" thickBot="1">
      <c r="B6" s="325" t="s">
        <v>507</v>
      </c>
      <c r="C6" s="325" t="s">
        <v>508</v>
      </c>
    </row>
    <row r="7" spans="2:3" ht="14.4">
      <c r="B7" s="326" t="s">
        <v>598</v>
      </c>
      <c r="C7" s="327">
        <v>23290070</v>
      </c>
    </row>
    <row r="8" spans="2:3" ht="14.4">
      <c r="B8" s="326" t="s">
        <v>599</v>
      </c>
      <c r="C8" s="327">
        <v>19418687</v>
      </c>
    </row>
    <row r="9" spans="2:3" ht="14.4">
      <c r="B9" s="326" t="s">
        <v>600</v>
      </c>
      <c r="C9" s="327">
        <f>'[1]Gastos de Personal'!C36</f>
        <v>3593100</v>
      </c>
    </row>
    <row r="10" spans="2:3" ht="15" thickBot="1">
      <c r="B10" s="326" t="s">
        <v>505</v>
      </c>
      <c r="C10" s="327">
        <f>'[1]Gastos Administrativos'!D16</f>
        <v>1340000</v>
      </c>
    </row>
    <row r="11" spans="2:3" ht="15" thickBot="1">
      <c r="B11" s="328" t="s">
        <v>601</v>
      </c>
      <c r="C11" s="329">
        <f>SUM(C7:C10)</f>
        <v>47641857</v>
      </c>
    </row>
  </sheetData>
  <mergeCells count="1">
    <mergeCell ref="B5:C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F0"/>
    <outlinePr summaryBelow="0" summaryRight="0"/>
  </sheetPr>
  <dimension ref="A1:Z302"/>
  <sheetViews>
    <sheetView showGridLines="0" topLeftCell="A14" workbookViewId="0">
      <selection activeCell="A6" sqref="A6"/>
    </sheetView>
  </sheetViews>
  <sheetFormatPr baseColWidth="10" defaultColWidth="12.6640625" defaultRowHeight="15" customHeight="1"/>
  <cols>
    <col min="2" max="2" width="33.109375" customWidth="1"/>
    <col min="3" max="3" width="21.109375" customWidth="1"/>
    <col min="4" max="4" width="17.77734375" customWidth="1"/>
    <col min="5" max="5" width="9.77734375" customWidth="1"/>
    <col min="6" max="6" width="20.21875" customWidth="1"/>
    <col min="7" max="7" width="12.77734375" customWidth="1"/>
    <col min="8" max="8" width="23.33203125" customWidth="1"/>
    <col min="9" max="9" width="75.21875" customWidth="1"/>
  </cols>
  <sheetData>
    <row r="1" spans="1:26" ht="15" customHeight="1">
      <c r="A1" s="8"/>
      <c r="F1" s="225"/>
    </row>
    <row r="2" spans="1:26" ht="25.8">
      <c r="B2" s="318" t="s">
        <v>536</v>
      </c>
      <c r="C2" s="319"/>
      <c r="D2" s="319"/>
      <c r="E2" s="319"/>
      <c r="F2" s="319"/>
      <c r="G2" s="319"/>
      <c r="H2" s="319"/>
      <c r="I2" s="320"/>
    </row>
    <row r="3" spans="1:26" ht="18.600000000000001" customHeight="1">
      <c r="B3" s="321" t="e" vm="1">
        <v>#VALUE!</v>
      </c>
      <c r="C3" s="323" t="s">
        <v>588</v>
      </c>
      <c r="D3" s="290"/>
      <c r="E3" s="290"/>
      <c r="F3" s="290"/>
      <c r="G3" s="290"/>
      <c r="H3" s="290"/>
      <c r="I3" s="291"/>
    </row>
    <row r="4" spans="1:26" ht="37.799999999999997" customHeight="1">
      <c r="A4" s="226"/>
      <c r="B4" s="322"/>
      <c r="C4" s="323" t="s">
        <v>580</v>
      </c>
      <c r="D4" s="290"/>
      <c r="E4" s="290"/>
      <c r="F4" s="290"/>
      <c r="G4" s="290"/>
      <c r="H4" s="290"/>
      <c r="I4" s="291"/>
      <c r="J4" s="227"/>
      <c r="K4" s="227"/>
      <c r="L4" s="227"/>
      <c r="M4" s="227"/>
      <c r="N4" s="227"/>
      <c r="O4" s="227"/>
      <c r="P4" s="227"/>
      <c r="Q4" s="227"/>
      <c r="R4" s="227"/>
      <c r="S4" s="227"/>
      <c r="T4" s="227"/>
      <c r="U4" s="227"/>
      <c r="V4" s="227"/>
      <c r="W4" s="227"/>
      <c r="X4" s="227"/>
      <c r="Y4" s="227"/>
      <c r="Z4" s="227"/>
    </row>
    <row r="5" spans="1:26" ht="39.6" customHeight="1">
      <c r="A5" s="227"/>
      <c r="B5" s="322"/>
      <c r="C5" s="323" t="s">
        <v>581</v>
      </c>
      <c r="D5" s="290"/>
      <c r="E5" s="290"/>
      <c r="F5" s="290"/>
      <c r="G5" s="290"/>
      <c r="H5" s="290"/>
      <c r="I5" s="291"/>
      <c r="J5" s="227"/>
      <c r="K5" s="227"/>
      <c r="L5" s="227"/>
      <c r="M5" s="227"/>
      <c r="N5" s="227"/>
      <c r="O5" s="227"/>
      <c r="P5" s="227"/>
      <c r="Q5" s="227"/>
      <c r="R5" s="227"/>
      <c r="S5" s="227"/>
      <c r="T5" s="227"/>
      <c r="U5" s="227"/>
      <c r="V5" s="227"/>
      <c r="W5" s="227"/>
      <c r="X5" s="227"/>
      <c r="Y5" s="227"/>
      <c r="Z5" s="227"/>
    </row>
    <row r="6" spans="1:26" ht="48.6" customHeight="1">
      <c r="A6" s="227"/>
      <c r="B6" s="310"/>
      <c r="C6" s="323" t="s">
        <v>582</v>
      </c>
      <c r="D6" s="290"/>
      <c r="E6" s="290"/>
      <c r="F6" s="290"/>
      <c r="G6" s="290"/>
      <c r="H6" s="290"/>
      <c r="I6" s="291"/>
      <c r="J6" s="227"/>
      <c r="K6" s="227"/>
      <c r="L6" s="227"/>
      <c r="M6" s="227"/>
      <c r="N6" s="227"/>
      <c r="O6" s="227"/>
      <c r="P6" s="227"/>
      <c r="Q6" s="227"/>
      <c r="R6" s="227"/>
      <c r="S6" s="227"/>
      <c r="T6" s="227"/>
      <c r="U6" s="227"/>
      <c r="V6" s="227"/>
      <c r="W6" s="227"/>
      <c r="X6" s="227"/>
      <c r="Y6" s="227"/>
      <c r="Z6" s="227"/>
    </row>
    <row r="7" spans="1:26" ht="15.75" customHeight="1">
      <c r="A7" s="227"/>
      <c r="B7" s="228" t="s">
        <v>537</v>
      </c>
      <c r="C7" s="305" t="s">
        <v>583</v>
      </c>
      <c r="D7" s="290"/>
      <c r="E7" s="291"/>
      <c r="F7" s="309" t="s">
        <v>538</v>
      </c>
      <c r="G7" s="311" t="s">
        <v>539</v>
      </c>
      <c r="H7" s="312"/>
      <c r="I7" s="313"/>
      <c r="J7" s="227"/>
      <c r="K7" s="227"/>
      <c r="L7" s="227"/>
      <c r="M7" s="227"/>
      <c r="N7" s="227"/>
      <c r="O7" s="227"/>
      <c r="P7" s="227"/>
      <c r="Q7" s="227"/>
      <c r="R7" s="227"/>
      <c r="S7" s="227"/>
      <c r="T7" s="227"/>
      <c r="U7" s="227"/>
      <c r="V7" s="227"/>
      <c r="W7" s="227"/>
      <c r="X7" s="227"/>
      <c r="Y7" s="227"/>
      <c r="Z7" s="227"/>
    </row>
    <row r="8" spans="1:26" ht="15.75" customHeight="1">
      <c r="A8" s="227"/>
      <c r="B8" s="229" t="s">
        <v>540</v>
      </c>
      <c r="C8" s="315">
        <v>3044740671</v>
      </c>
      <c r="D8" s="290"/>
      <c r="E8" s="291"/>
      <c r="F8" s="310"/>
      <c r="G8" s="314"/>
      <c r="H8" s="295"/>
      <c r="I8" s="296"/>
      <c r="J8" s="227"/>
      <c r="K8" s="227"/>
      <c r="L8" s="227"/>
      <c r="M8" s="227"/>
      <c r="N8" s="227"/>
      <c r="O8" s="227"/>
      <c r="P8" s="227"/>
      <c r="Q8" s="227"/>
      <c r="R8" s="227"/>
      <c r="S8" s="227"/>
      <c r="T8" s="227"/>
      <c r="U8" s="227"/>
      <c r="V8" s="227"/>
      <c r="W8" s="227"/>
      <c r="X8" s="227"/>
      <c r="Y8" s="227"/>
      <c r="Z8" s="227"/>
    </row>
    <row r="9" spans="1:26" ht="15.75" customHeight="1">
      <c r="A9" s="230"/>
      <c r="B9" s="228" t="s">
        <v>541</v>
      </c>
      <c r="C9" s="305" t="s">
        <v>584</v>
      </c>
      <c r="D9" s="290"/>
      <c r="E9" s="291"/>
      <c r="F9" s="309" t="s">
        <v>542</v>
      </c>
      <c r="G9" s="316">
        <v>46118</v>
      </c>
      <c r="H9" s="312"/>
      <c r="I9" s="313"/>
      <c r="J9" s="227"/>
      <c r="K9" s="227"/>
      <c r="L9" s="227"/>
      <c r="M9" s="227"/>
      <c r="N9" s="227"/>
      <c r="O9" s="227"/>
      <c r="P9" s="227"/>
      <c r="Q9" s="227"/>
      <c r="R9" s="227"/>
      <c r="S9" s="227"/>
      <c r="T9" s="227"/>
      <c r="U9" s="227"/>
      <c r="V9" s="227"/>
      <c r="W9" s="227"/>
      <c r="X9" s="227"/>
      <c r="Y9" s="227"/>
      <c r="Z9" s="227"/>
    </row>
    <row r="10" spans="1:26" ht="15.75" customHeight="1">
      <c r="A10" s="227"/>
      <c r="B10" s="229" t="s">
        <v>543</v>
      </c>
      <c r="C10" s="317" t="s">
        <v>587</v>
      </c>
      <c r="D10" s="290"/>
      <c r="E10" s="291"/>
      <c r="F10" s="310"/>
      <c r="G10" s="314"/>
      <c r="H10" s="295"/>
      <c r="I10" s="296"/>
      <c r="J10" s="227"/>
      <c r="K10" s="227"/>
      <c r="L10" s="227"/>
      <c r="M10" s="227"/>
      <c r="N10" s="227"/>
      <c r="O10" s="227"/>
      <c r="P10" s="227"/>
      <c r="Q10" s="227"/>
      <c r="R10" s="227"/>
      <c r="S10" s="227"/>
      <c r="T10" s="227"/>
      <c r="U10" s="227"/>
      <c r="V10" s="227"/>
      <c r="W10" s="227"/>
      <c r="X10" s="227"/>
      <c r="Y10" s="227"/>
      <c r="Z10" s="227"/>
    </row>
    <row r="11" spans="1:26" ht="15.75" customHeight="1">
      <c r="A11" s="230"/>
      <c r="B11" s="306" t="s">
        <v>544</v>
      </c>
      <c r="C11" s="290"/>
      <c r="D11" s="290"/>
      <c r="E11" s="290"/>
      <c r="F11" s="290"/>
      <c r="G11" s="290"/>
      <c r="H11" s="290"/>
      <c r="I11" s="291"/>
      <c r="J11" s="227"/>
      <c r="K11" s="227"/>
      <c r="L11" s="227"/>
      <c r="M11" s="227"/>
      <c r="N11" s="227"/>
      <c r="O11" s="227"/>
      <c r="P11" s="227"/>
      <c r="Q11" s="227"/>
      <c r="R11" s="227"/>
      <c r="S11" s="227"/>
      <c r="T11" s="227"/>
      <c r="U11" s="227"/>
      <c r="V11" s="227"/>
      <c r="W11" s="227"/>
      <c r="X11" s="227"/>
      <c r="Y11" s="227"/>
      <c r="Z11" s="227"/>
    </row>
    <row r="12" spans="1:26" ht="15.75" customHeight="1">
      <c r="A12" s="227"/>
      <c r="B12" s="306" t="s">
        <v>545</v>
      </c>
      <c r="C12" s="290"/>
      <c r="D12" s="290"/>
      <c r="E12" s="290"/>
      <c r="F12" s="290"/>
      <c r="G12" s="290"/>
      <c r="H12" s="290"/>
      <c r="I12" s="291"/>
      <c r="J12" s="227"/>
      <c r="K12" s="227"/>
      <c r="L12" s="227"/>
      <c r="M12" s="227"/>
      <c r="N12" s="227"/>
      <c r="O12" s="227"/>
      <c r="P12" s="227"/>
      <c r="Q12" s="227"/>
      <c r="R12" s="227"/>
      <c r="S12" s="227"/>
      <c r="T12" s="227"/>
      <c r="U12" s="227"/>
      <c r="V12" s="227"/>
      <c r="W12" s="227"/>
      <c r="X12" s="227"/>
      <c r="Y12" s="227"/>
      <c r="Z12" s="227"/>
    </row>
    <row r="13" spans="1:26" ht="15" customHeight="1">
      <c r="A13" s="227"/>
      <c r="B13" s="252" t="s">
        <v>546</v>
      </c>
      <c r="C13" s="252" t="s">
        <v>547</v>
      </c>
      <c r="D13" s="252" t="s">
        <v>548</v>
      </c>
      <c r="E13" s="252" t="s">
        <v>521</v>
      </c>
      <c r="F13" s="252" t="s">
        <v>549</v>
      </c>
      <c r="G13" s="252" t="s">
        <v>550</v>
      </c>
      <c r="H13" s="252" t="s">
        <v>551</v>
      </c>
      <c r="I13" s="252" t="s">
        <v>552</v>
      </c>
      <c r="J13" s="227"/>
      <c r="K13" s="227"/>
      <c r="L13" s="227"/>
      <c r="M13" s="227"/>
      <c r="N13" s="227"/>
      <c r="O13" s="227"/>
      <c r="P13" s="227"/>
      <c r="Q13" s="227"/>
      <c r="R13" s="227"/>
      <c r="S13" s="227"/>
      <c r="T13" s="227"/>
      <c r="U13" s="227"/>
      <c r="V13" s="227"/>
      <c r="W13" s="227"/>
      <c r="X13" s="227"/>
      <c r="Y13" s="227"/>
      <c r="Z13" s="227"/>
    </row>
    <row r="14" spans="1:26" ht="64.5" customHeight="1">
      <c r="A14" s="231"/>
      <c r="B14" s="256" t="s">
        <v>553</v>
      </c>
      <c r="C14" s="257" t="s">
        <v>567</v>
      </c>
      <c r="D14" s="257" t="s">
        <v>24</v>
      </c>
      <c r="E14" s="258">
        <v>1</v>
      </c>
      <c r="F14" s="259">
        <v>1415462.18</v>
      </c>
      <c r="G14" s="259">
        <v>268937.82</v>
      </c>
      <c r="H14" s="259">
        <f>SUM(F14:G14)</f>
        <v>1684400</v>
      </c>
      <c r="I14" s="260" t="s">
        <v>554</v>
      </c>
      <c r="J14" s="231"/>
      <c r="K14" s="231"/>
      <c r="L14" s="231"/>
      <c r="M14" s="231"/>
      <c r="N14" s="231"/>
      <c r="O14" s="231"/>
      <c r="P14" s="231"/>
      <c r="Q14" s="231"/>
      <c r="R14" s="231"/>
      <c r="S14" s="231"/>
      <c r="T14" s="231"/>
      <c r="U14" s="231"/>
      <c r="V14" s="231"/>
      <c r="W14" s="231"/>
      <c r="X14" s="231"/>
      <c r="Y14" s="231"/>
      <c r="Z14" s="231"/>
    </row>
    <row r="15" spans="1:26" ht="64.5" customHeight="1">
      <c r="A15" s="231"/>
      <c r="B15" s="256" t="s">
        <v>555</v>
      </c>
      <c r="C15" s="261" t="s">
        <v>130</v>
      </c>
      <c r="D15" s="262" t="s">
        <v>29</v>
      </c>
      <c r="E15" s="263">
        <v>1</v>
      </c>
      <c r="F15" s="264">
        <v>1663781.51</v>
      </c>
      <c r="G15" s="264">
        <v>316118.49</v>
      </c>
      <c r="H15" s="259">
        <f t="shared" ref="H15:H16" si="0">SUM(F15:G15)</f>
        <v>1979900</v>
      </c>
      <c r="I15" s="265" t="s">
        <v>556</v>
      </c>
      <c r="J15" s="231"/>
      <c r="K15" s="231"/>
      <c r="L15" s="231"/>
      <c r="M15" s="231"/>
      <c r="N15" s="231"/>
      <c r="O15" s="231"/>
      <c r="P15" s="231"/>
      <c r="Q15" s="231"/>
      <c r="R15" s="231"/>
      <c r="S15" s="231"/>
      <c r="T15" s="231"/>
      <c r="U15" s="231"/>
      <c r="V15" s="231"/>
      <c r="W15" s="231"/>
      <c r="X15" s="231"/>
      <c r="Y15" s="231"/>
      <c r="Z15" s="231"/>
    </row>
    <row r="16" spans="1:26" ht="64.5" customHeight="1">
      <c r="A16" s="231"/>
      <c r="B16" s="256" t="s">
        <v>557</v>
      </c>
      <c r="C16" s="261" t="s">
        <v>222</v>
      </c>
      <c r="D16" s="257" t="s">
        <v>29</v>
      </c>
      <c r="E16" s="258">
        <v>1</v>
      </c>
      <c r="F16" s="259">
        <v>32773.11</v>
      </c>
      <c r="G16" s="259">
        <v>6370.59</v>
      </c>
      <c r="H16" s="259">
        <f t="shared" si="0"/>
        <v>39143.699999999997</v>
      </c>
      <c r="I16" s="266" t="s">
        <v>558</v>
      </c>
      <c r="J16" s="231"/>
      <c r="K16" s="231"/>
      <c r="L16" s="231"/>
      <c r="M16" s="231"/>
      <c r="N16" s="231"/>
      <c r="O16" s="231"/>
      <c r="P16" s="231"/>
      <c r="Q16" s="231"/>
      <c r="R16" s="231"/>
      <c r="S16" s="231"/>
      <c r="T16" s="231"/>
      <c r="U16" s="231"/>
      <c r="V16" s="231"/>
      <c r="W16" s="231"/>
      <c r="X16" s="231"/>
      <c r="Y16" s="231"/>
      <c r="Z16" s="231"/>
    </row>
    <row r="17" spans="1:26" ht="64.5" customHeight="1">
      <c r="A17" s="231"/>
      <c r="B17" s="256" t="s">
        <v>585</v>
      </c>
      <c r="C17" s="257" t="s">
        <v>258</v>
      </c>
      <c r="D17" s="257" t="s">
        <v>586</v>
      </c>
      <c r="E17" s="258">
        <v>1</v>
      </c>
      <c r="F17" s="259">
        <v>176900.84</v>
      </c>
      <c r="G17" s="259">
        <v>3501.25</v>
      </c>
      <c r="H17" s="267">
        <f>SUM(F17:G17)</f>
        <v>180402.09</v>
      </c>
      <c r="I17" s="260" t="s">
        <v>559</v>
      </c>
      <c r="J17" s="231"/>
      <c r="K17" s="231"/>
      <c r="L17" s="231"/>
      <c r="M17" s="231"/>
      <c r="N17" s="231"/>
      <c r="O17" s="231"/>
      <c r="P17" s="231"/>
      <c r="Q17" s="231"/>
      <c r="R17" s="231"/>
      <c r="S17" s="231"/>
      <c r="T17" s="231"/>
      <c r="U17" s="231"/>
      <c r="V17" s="231"/>
      <c r="W17" s="231"/>
      <c r="X17" s="231"/>
      <c r="Y17" s="231"/>
      <c r="Z17" s="231"/>
    </row>
    <row r="18" spans="1:26" ht="64.5" customHeight="1">
      <c r="A18" s="231"/>
      <c r="B18" s="256" t="s">
        <v>560</v>
      </c>
      <c r="C18" s="257" t="s">
        <v>561</v>
      </c>
      <c r="D18" s="257" t="s">
        <v>236</v>
      </c>
      <c r="E18" s="258">
        <v>1</v>
      </c>
      <c r="F18" s="259">
        <v>48717.17</v>
      </c>
      <c r="G18" s="259">
        <v>9256.26</v>
      </c>
      <c r="H18" s="267">
        <f>SUM(F18:G18)</f>
        <v>57973.43</v>
      </c>
      <c r="I18" s="260" t="s">
        <v>562</v>
      </c>
      <c r="J18" s="231"/>
      <c r="K18" s="231"/>
      <c r="L18" s="231"/>
      <c r="M18" s="231"/>
      <c r="N18" s="231"/>
      <c r="O18" s="231"/>
      <c r="P18" s="231"/>
      <c r="Q18" s="231"/>
      <c r="R18" s="231"/>
      <c r="S18" s="231"/>
      <c r="T18" s="231"/>
      <c r="U18" s="231"/>
      <c r="V18" s="231"/>
      <c r="W18" s="231"/>
      <c r="X18" s="231"/>
      <c r="Y18" s="231"/>
      <c r="Z18" s="231"/>
    </row>
    <row r="19" spans="1:26" ht="16.8">
      <c r="A19" s="227"/>
      <c r="B19" s="307" t="s">
        <v>563</v>
      </c>
      <c r="C19" s="308"/>
      <c r="D19" s="308"/>
      <c r="E19" s="308"/>
      <c r="F19" s="253">
        <f t="shared" ref="F19:G19" si="1">SUM(F14,F15,F16,F17,F18)</f>
        <v>3337634.8099999996</v>
      </c>
      <c r="G19" s="254">
        <f t="shared" si="1"/>
        <v>604184.41</v>
      </c>
      <c r="H19" s="255">
        <f>SUM(H14,H15,H16,H17, H18)</f>
        <v>3941819.22</v>
      </c>
      <c r="I19" s="255"/>
      <c r="J19" s="227"/>
      <c r="K19" s="227"/>
      <c r="L19" s="227"/>
      <c r="M19" s="227"/>
      <c r="N19" s="227"/>
      <c r="O19" s="227"/>
      <c r="P19" s="227"/>
      <c r="Q19" s="227"/>
      <c r="R19" s="227"/>
      <c r="S19" s="227"/>
      <c r="T19" s="227"/>
      <c r="U19" s="227"/>
      <c r="V19" s="227"/>
      <c r="W19" s="227"/>
      <c r="X19" s="227"/>
      <c r="Y19" s="227"/>
      <c r="Z19" s="227"/>
    </row>
    <row r="20" spans="1:26" ht="16.8">
      <c r="A20" s="227"/>
      <c r="B20" s="227"/>
      <c r="C20" s="227"/>
      <c r="D20" s="227"/>
      <c r="E20" s="227"/>
      <c r="F20" s="227"/>
      <c r="G20" s="227"/>
      <c r="H20" s="227"/>
      <c r="I20" s="227"/>
      <c r="J20" s="227"/>
      <c r="K20" s="227"/>
      <c r="L20" s="227"/>
      <c r="M20" s="227"/>
      <c r="N20" s="227"/>
      <c r="O20" s="227"/>
      <c r="P20" s="227"/>
      <c r="Q20" s="227"/>
      <c r="R20" s="227"/>
      <c r="S20" s="227"/>
      <c r="T20" s="227"/>
      <c r="U20" s="227"/>
      <c r="V20" s="227"/>
      <c r="W20" s="227"/>
      <c r="X20" s="227"/>
      <c r="Y20" s="227"/>
      <c r="Z20" s="227"/>
    </row>
    <row r="21" spans="1:26" ht="16.8">
      <c r="A21" s="227"/>
      <c r="B21" s="227"/>
      <c r="C21" s="227"/>
      <c r="D21" s="227"/>
      <c r="E21" s="227"/>
      <c r="F21" s="227"/>
      <c r="G21" s="227"/>
      <c r="H21" s="227"/>
      <c r="I21" s="227"/>
      <c r="J21" s="227"/>
      <c r="K21" s="227"/>
      <c r="L21" s="227"/>
      <c r="M21" s="227"/>
      <c r="N21" s="227"/>
      <c r="O21" s="227"/>
      <c r="P21" s="227"/>
      <c r="Q21" s="227"/>
      <c r="R21" s="227"/>
      <c r="S21" s="227"/>
      <c r="T21" s="227"/>
      <c r="U21" s="227"/>
      <c r="V21" s="227"/>
      <c r="W21" s="227"/>
      <c r="X21" s="227"/>
      <c r="Y21" s="227"/>
      <c r="Z21" s="227"/>
    </row>
    <row r="22" spans="1:26" ht="16.8">
      <c r="A22" s="227"/>
      <c r="B22" s="227"/>
      <c r="C22" s="227"/>
      <c r="D22" s="227"/>
      <c r="E22" s="227"/>
      <c r="F22" s="227"/>
      <c r="G22" s="227"/>
      <c r="H22" s="227"/>
      <c r="I22" s="227"/>
      <c r="J22" s="227"/>
      <c r="K22" s="227"/>
      <c r="L22" s="227"/>
      <c r="M22" s="227"/>
      <c r="N22" s="227"/>
      <c r="O22" s="227"/>
      <c r="P22" s="227"/>
      <c r="Q22" s="227"/>
      <c r="R22" s="227"/>
      <c r="S22" s="227"/>
      <c r="T22" s="227"/>
      <c r="U22" s="227"/>
      <c r="V22" s="227"/>
      <c r="W22" s="227"/>
      <c r="X22" s="227"/>
      <c r="Y22" s="227"/>
      <c r="Z22" s="227"/>
    </row>
    <row r="23" spans="1:26" ht="16.8">
      <c r="A23" s="227"/>
      <c r="B23" s="227"/>
      <c r="C23" s="227"/>
      <c r="D23" s="227"/>
      <c r="E23" s="227"/>
      <c r="F23" s="227"/>
      <c r="G23" s="227"/>
      <c r="H23" s="227"/>
      <c r="I23" s="227"/>
      <c r="J23" s="227"/>
      <c r="K23" s="227"/>
      <c r="L23" s="227"/>
      <c r="M23" s="227"/>
      <c r="N23" s="227"/>
      <c r="O23" s="227"/>
      <c r="P23" s="227"/>
      <c r="Q23" s="227"/>
      <c r="R23" s="227"/>
      <c r="S23" s="227"/>
      <c r="T23" s="227"/>
      <c r="U23" s="227"/>
      <c r="V23" s="227"/>
      <c r="W23" s="227"/>
      <c r="X23" s="227"/>
      <c r="Y23" s="227"/>
      <c r="Z23" s="227"/>
    </row>
    <row r="24" spans="1:26" ht="16.8">
      <c r="A24" s="227"/>
      <c r="B24" s="227"/>
      <c r="C24" s="227"/>
      <c r="D24" s="227"/>
      <c r="E24" s="227"/>
      <c r="F24" s="227"/>
      <c r="G24" s="227"/>
      <c r="H24" s="227"/>
      <c r="I24" s="227"/>
      <c r="J24" s="227"/>
      <c r="K24" s="227"/>
      <c r="L24" s="227"/>
      <c r="M24" s="227"/>
      <c r="N24" s="227"/>
      <c r="O24" s="227"/>
      <c r="P24" s="227"/>
      <c r="Q24" s="227"/>
      <c r="R24" s="227"/>
      <c r="S24" s="227"/>
      <c r="T24" s="227"/>
      <c r="U24" s="227"/>
      <c r="V24" s="227"/>
      <c r="W24" s="227"/>
      <c r="X24" s="227"/>
      <c r="Y24" s="227"/>
      <c r="Z24" s="227"/>
    </row>
    <row r="25" spans="1:26" ht="16.8">
      <c r="A25" s="230"/>
      <c r="B25" s="227"/>
      <c r="C25" s="227"/>
      <c r="D25" s="227"/>
      <c r="E25" s="227"/>
      <c r="F25" s="227"/>
      <c r="G25" s="227"/>
      <c r="H25" s="227"/>
      <c r="I25" s="227"/>
      <c r="J25" s="227"/>
      <c r="K25" s="227"/>
      <c r="L25" s="227"/>
      <c r="M25" s="227"/>
      <c r="N25" s="227"/>
      <c r="O25" s="227"/>
      <c r="P25" s="227"/>
      <c r="Q25" s="227"/>
      <c r="R25" s="227"/>
      <c r="S25" s="227"/>
      <c r="T25" s="227"/>
      <c r="U25" s="227"/>
      <c r="V25" s="227"/>
      <c r="W25" s="227"/>
      <c r="X25" s="227"/>
      <c r="Y25" s="227"/>
      <c r="Z25" s="227"/>
    </row>
    <row r="26" spans="1:26" ht="16.8">
      <c r="A26" s="227"/>
      <c r="B26" s="227"/>
      <c r="C26" s="227"/>
      <c r="D26" s="227"/>
      <c r="E26" s="227"/>
      <c r="F26" s="227"/>
      <c r="G26" s="227"/>
      <c r="H26" s="227"/>
      <c r="I26" s="227"/>
      <c r="J26" s="227"/>
      <c r="K26" s="227"/>
      <c r="L26" s="227"/>
      <c r="M26" s="227"/>
      <c r="N26" s="227"/>
      <c r="O26" s="227"/>
      <c r="P26" s="227"/>
      <c r="Q26" s="227"/>
      <c r="R26" s="227"/>
      <c r="S26" s="227"/>
      <c r="T26" s="227"/>
      <c r="U26" s="227"/>
      <c r="V26" s="227"/>
      <c r="W26" s="227"/>
      <c r="X26" s="227"/>
      <c r="Y26" s="227"/>
      <c r="Z26" s="227"/>
    </row>
    <row r="27" spans="1:26" ht="16.8">
      <c r="A27" s="230"/>
      <c r="B27" s="227"/>
      <c r="C27" s="227"/>
      <c r="D27" s="227"/>
      <c r="E27" s="227"/>
      <c r="F27" s="227"/>
      <c r="G27" s="227"/>
      <c r="H27" s="227"/>
      <c r="I27" s="227"/>
      <c r="J27" s="227"/>
      <c r="K27" s="227"/>
      <c r="L27" s="227"/>
      <c r="M27" s="227"/>
      <c r="N27" s="227"/>
      <c r="O27" s="227"/>
      <c r="P27" s="227"/>
      <c r="Q27" s="227"/>
      <c r="R27" s="227"/>
      <c r="S27" s="227"/>
      <c r="T27" s="227"/>
      <c r="U27" s="227"/>
      <c r="V27" s="227"/>
      <c r="W27" s="227"/>
      <c r="X27" s="227"/>
      <c r="Y27" s="227"/>
      <c r="Z27" s="227"/>
    </row>
    <row r="28" spans="1:26" ht="16.8">
      <c r="A28" s="227"/>
      <c r="B28" s="227"/>
      <c r="C28" s="227"/>
      <c r="D28" s="227"/>
      <c r="E28" s="227"/>
      <c r="F28" s="227"/>
      <c r="G28" s="227"/>
      <c r="H28" s="227"/>
      <c r="I28" s="227"/>
      <c r="J28" s="227"/>
      <c r="K28" s="227"/>
      <c r="L28" s="227"/>
      <c r="M28" s="227"/>
      <c r="N28" s="227"/>
      <c r="O28" s="227"/>
      <c r="P28" s="227"/>
      <c r="Q28" s="227"/>
      <c r="R28" s="227"/>
      <c r="S28" s="227"/>
      <c r="T28" s="227"/>
      <c r="U28" s="227"/>
      <c r="V28" s="227"/>
      <c r="W28" s="227"/>
      <c r="X28" s="227"/>
      <c r="Y28" s="227"/>
      <c r="Z28" s="227"/>
    </row>
    <row r="29" spans="1:26" ht="16.8">
      <c r="A29" s="227"/>
      <c r="B29" s="227"/>
      <c r="C29" s="227"/>
      <c r="D29" s="227"/>
      <c r="E29" s="227"/>
      <c r="F29" s="227"/>
      <c r="G29" s="227"/>
      <c r="H29" s="227"/>
      <c r="I29" s="227"/>
      <c r="J29" s="227"/>
      <c r="K29" s="227"/>
      <c r="L29" s="227"/>
      <c r="M29" s="227"/>
      <c r="N29" s="227"/>
      <c r="O29" s="227"/>
      <c r="P29" s="227"/>
      <c r="Q29" s="227"/>
      <c r="R29" s="227"/>
      <c r="S29" s="227"/>
      <c r="T29" s="227"/>
      <c r="U29" s="227"/>
      <c r="V29" s="227"/>
      <c r="W29" s="227"/>
      <c r="X29" s="227"/>
      <c r="Y29" s="227"/>
      <c r="Z29" s="227"/>
    </row>
    <row r="30" spans="1:26" ht="16.8">
      <c r="A30" s="227"/>
      <c r="B30" s="227"/>
      <c r="C30" s="227"/>
      <c r="D30" s="227"/>
      <c r="E30" s="227"/>
      <c r="F30" s="227"/>
      <c r="G30" s="227"/>
      <c r="H30" s="227"/>
      <c r="I30" s="227"/>
      <c r="J30" s="227"/>
      <c r="K30" s="227"/>
      <c r="L30" s="227"/>
      <c r="M30" s="227"/>
      <c r="N30" s="227"/>
      <c r="O30" s="227"/>
      <c r="P30" s="227"/>
      <c r="Q30" s="227"/>
      <c r="R30" s="227"/>
      <c r="S30" s="227"/>
      <c r="T30" s="227"/>
      <c r="U30" s="227"/>
      <c r="V30" s="227"/>
      <c r="W30" s="227"/>
      <c r="X30" s="227"/>
      <c r="Y30" s="227"/>
      <c r="Z30" s="227"/>
    </row>
    <row r="31" spans="1:26" ht="16.8">
      <c r="A31" s="227"/>
      <c r="B31" s="227"/>
      <c r="C31" s="227"/>
      <c r="D31" s="227"/>
      <c r="E31" s="227"/>
      <c r="F31" s="227"/>
      <c r="G31" s="227"/>
      <c r="H31" s="227"/>
      <c r="I31" s="227"/>
      <c r="J31" s="227"/>
      <c r="K31" s="227"/>
      <c r="L31" s="227"/>
      <c r="M31" s="227"/>
      <c r="N31" s="227"/>
      <c r="O31" s="227"/>
      <c r="P31" s="227"/>
      <c r="Q31" s="227"/>
      <c r="R31" s="227"/>
      <c r="S31" s="227"/>
      <c r="T31" s="227"/>
      <c r="U31" s="227"/>
      <c r="V31" s="227"/>
      <c r="W31" s="227"/>
      <c r="X31" s="227"/>
      <c r="Y31" s="227"/>
      <c r="Z31" s="227"/>
    </row>
    <row r="32" spans="1:26" ht="16.8">
      <c r="A32" s="227"/>
      <c r="B32" s="227"/>
      <c r="C32" s="227"/>
      <c r="D32" s="227"/>
      <c r="E32" s="227"/>
      <c r="F32" s="227"/>
      <c r="G32" s="227"/>
      <c r="H32" s="227"/>
      <c r="I32" s="227"/>
      <c r="J32" s="227"/>
      <c r="K32" s="227"/>
      <c r="L32" s="227"/>
      <c r="M32" s="227"/>
      <c r="N32" s="227"/>
      <c r="O32" s="227"/>
      <c r="P32" s="227"/>
      <c r="Q32" s="227"/>
      <c r="R32" s="227"/>
      <c r="S32" s="227"/>
      <c r="T32" s="227"/>
      <c r="U32" s="227"/>
      <c r="V32" s="227"/>
      <c r="W32" s="227"/>
      <c r="X32" s="227"/>
      <c r="Y32" s="227"/>
      <c r="Z32" s="227"/>
    </row>
    <row r="33" spans="1:26" ht="16.8">
      <c r="A33" s="227"/>
      <c r="B33" s="227"/>
      <c r="C33" s="227"/>
      <c r="D33" s="227"/>
      <c r="E33" s="227"/>
      <c r="F33" s="227"/>
      <c r="G33" s="227"/>
      <c r="H33" s="227"/>
      <c r="I33" s="227"/>
      <c r="J33" s="227"/>
      <c r="K33" s="227"/>
      <c r="L33" s="227"/>
      <c r="M33" s="227"/>
      <c r="N33" s="227"/>
      <c r="O33" s="227"/>
      <c r="P33" s="227"/>
      <c r="Q33" s="227"/>
      <c r="R33" s="227"/>
      <c r="S33" s="227"/>
      <c r="T33" s="227"/>
      <c r="U33" s="227"/>
      <c r="V33" s="227"/>
      <c r="W33" s="227"/>
      <c r="X33" s="227"/>
      <c r="Y33" s="227"/>
      <c r="Z33" s="227"/>
    </row>
    <row r="34" spans="1:26" ht="16.8">
      <c r="A34" s="227"/>
      <c r="B34" s="227"/>
      <c r="C34" s="227"/>
      <c r="D34" s="227"/>
      <c r="E34" s="227"/>
      <c r="F34" s="227"/>
      <c r="G34" s="227"/>
      <c r="H34" s="227"/>
      <c r="I34" s="227"/>
      <c r="J34" s="227"/>
      <c r="K34" s="227"/>
      <c r="L34" s="227"/>
      <c r="M34" s="227"/>
      <c r="N34" s="227"/>
      <c r="O34" s="227"/>
      <c r="P34" s="227"/>
      <c r="Q34" s="227"/>
      <c r="R34" s="227"/>
      <c r="S34" s="227"/>
      <c r="T34" s="227"/>
      <c r="U34" s="227"/>
      <c r="V34" s="227"/>
      <c r="W34" s="227"/>
      <c r="X34" s="227"/>
      <c r="Y34" s="227"/>
      <c r="Z34" s="227"/>
    </row>
    <row r="35" spans="1:26" ht="16.8">
      <c r="A35" s="227"/>
      <c r="B35" s="227"/>
      <c r="C35" s="227"/>
      <c r="D35" s="227"/>
      <c r="E35" s="227"/>
      <c r="F35" s="227"/>
      <c r="G35" s="227"/>
      <c r="H35" s="227"/>
      <c r="I35" s="227"/>
      <c r="J35" s="227"/>
      <c r="K35" s="227"/>
      <c r="L35" s="227"/>
      <c r="M35" s="227"/>
      <c r="N35" s="227"/>
      <c r="O35" s="227"/>
      <c r="P35" s="227"/>
      <c r="Q35" s="227"/>
      <c r="R35" s="227"/>
      <c r="S35" s="227"/>
      <c r="T35" s="227"/>
      <c r="U35" s="227"/>
      <c r="V35" s="227"/>
      <c r="W35" s="227"/>
      <c r="X35" s="227"/>
      <c r="Y35" s="227"/>
      <c r="Z35" s="227"/>
    </row>
    <row r="36" spans="1:26" ht="16.8">
      <c r="A36" s="226"/>
      <c r="B36" s="227"/>
      <c r="C36" s="227"/>
      <c r="D36" s="227"/>
      <c r="E36" s="227"/>
      <c r="F36" s="227"/>
      <c r="G36" s="227"/>
      <c r="H36" s="227"/>
      <c r="I36" s="227"/>
      <c r="J36" s="227"/>
      <c r="K36" s="227"/>
      <c r="L36" s="227"/>
      <c r="M36" s="227"/>
      <c r="N36" s="227"/>
      <c r="O36" s="227"/>
      <c r="P36" s="227"/>
      <c r="Q36" s="227"/>
      <c r="R36" s="227"/>
      <c r="S36" s="227"/>
      <c r="T36" s="227"/>
      <c r="U36" s="227"/>
      <c r="V36" s="227"/>
      <c r="W36" s="227"/>
      <c r="X36" s="227"/>
      <c r="Y36" s="227"/>
      <c r="Z36" s="227"/>
    </row>
    <row r="37" spans="1:26" ht="16.8">
      <c r="A37" s="226"/>
      <c r="B37" s="227"/>
      <c r="C37" s="227"/>
      <c r="D37" s="227"/>
      <c r="E37" s="227"/>
      <c r="F37" s="227"/>
      <c r="G37" s="227"/>
      <c r="H37" s="227"/>
      <c r="I37" s="227"/>
      <c r="J37" s="227"/>
      <c r="K37" s="227"/>
      <c r="L37" s="227"/>
      <c r="M37" s="227"/>
      <c r="N37" s="227"/>
      <c r="O37" s="227"/>
      <c r="P37" s="227"/>
      <c r="Q37" s="227"/>
      <c r="R37" s="227"/>
      <c r="S37" s="227"/>
      <c r="T37" s="227"/>
      <c r="U37" s="227"/>
      <c r="V37" s="227"/>
      <c r="W37" s="227"/>
      <c r="X37" s="227"/>
      <c r="Y37" s="227"/>
      <c r="Z37" s="227"/>
    </row>
    <row r="38" spans="1:26" ht="16.8">
      <c r="A38" s="227"/>
      <c r="B38" s="227"/>
      <c r="C38" s="227"/>
      <c r="D38" s="227"/>
      <c r="E38" s="227"/>
      <c r="F38" s="227"/>
      <c r="G38" s="227"/>
      <c r="H38" s="227"/>
      <c r="I38" s="227"/>
      <c r="J38" s="227"/>
      <c r="K38" s="227"/>
      <c r="L38" s="227"/>
      <c r="M38" s="227"/>
      <c r="N38" s="227"/>
      <c r="O38" s="227"/>
      <c r="P38" s="227"/>
      <c r="Q38" s="227"/>
      <c r="R38" s="227"/>
      <c r="S38" s="227"/>
      <c r="T38" s="227"/>
      <c r="U38" s="227"/>
      <c r="V38" s="227"/>
      <c r="W38" s="227"/>
      <c r="X38" s="227"/>
      <c r="Y38" s="227"/>
      <c r="Z38" s="227"/>
    </row>
    <row r="39" spans="1:26" ht="16.8">
      <c r="A39" s="227"/>
      <c r="B39" s="227"/>
      <c r="C39" s="227"/>
      <c r="D39" s="227"/>
      <c r="E39" s="227"/>
      <c r="F39" s="227"/>
      <c r="G39" s="227"/>
      <c r="H39" s="227"/>
      <c r="I39" s="227"/>
      <c r="J39" s="227"/>
      <c r="K39" s="227"/>
      <c r="L39" s="227"/>
      <c r="M39" s="227"/>
      <c r="N39" s="227"/>
      <c r="O39" s="227"/>
      <c r="P39" s="227"/>
      <c r="Q39" s="227"/>
      <c r="R39" s="227"/>
      <c r="S39" s="227"/>
      <c r="T39" s="227"/>
      <c r="U39" s="227"/>
      <c r="V39" s="227"/>
      <c r="W39" s="227"/>
      <c r="X39" s="227"/>
      <c r="Y39" s="227"/>
      <c r="Z39" s="227"/>
    </row>
    <row r="40" spans="1:26" ht="16.8">
      <c r="A40" s="227"/>
      <c r="B40" s="227"/>
      <c r="C40" s="227"/>
      <c r="D40" s="227"/>
      <c r="E40" s="227"/>
      <c r="F40" s="227"/>
      <c r="G40" s="227"/>
      <c r="H40" s="227"/>
      <c r="I40" s="227"/>
      <c r="J40" s="227"/>
      <c r="K40" s="227"/>
      <c r="L40" s="227"/>
      <c r="M40" s="227"/>
      <c r="N40" s="227"/>
      <c r="O40" s="227"/>
      <c r="P40" s="227"/>
      <c r="Q40" s="227"/>
      <c r="R40" s="227"/>
      <c r="S40" s="227"/>
      <c r="T40" s="227"/>
      <c r="U40" s="227"/>
      <c r="V40" s="227"/>
      <c r="W40" s="227"/>
      <c r="X40" s="227"/>
      <c r="Y40" s="227"/>
      <c r="Z40" s="227"/>
    </row>
    <row r="41" spans="1:26" ht="16.8">
      <c r="A41" s="227"/>
      <c r="B41" s="227"/>
      <c r="C41" s="227"/>
      <c r="D41" s="227"/>
      <c r="E41" s="227"/>
      <c r="F41" s="227"/>
      <c r="G41" s="227"/>
      <c r="H41" s="227"/>
      <c r="I41" s="227"/>
      <c r="J41" s="227"/>
      <c r="K41" s="227"/>
      <c r="L41" s="227"/>
      <c r="M41" s="227"/>
      <c r="N41" s="227"/>
      <c r="O41" s="227"/>
      <c r="P41" s="227"/>
      <c r="Q41" s="227"/>
      <c r="R41" s="227"/>
      <c r="S41" s="227"/>
      <c r="T41" s="227"/>
      <c r="U41" s="227"/>
      <c r="V41" s="227"/>
      <c r="W41" s="227"/>
      <c r="X41" s="227"/>
      <c r="Y41" s="227"/>
      <c r="Z41" s="227"/>
    </row>
    <row r="42" spans="1:26" ht="16.8">
      <c r="A42" s="227"/>
      <c r="B42" s="227"/>
      <c r="C42" s="227"/>
      <c r="D42" s="227"/>
      <c r="E42" s="227"/>
      <c r="F42" s="227"/>
      <c r="G42" s="227"/>
      <c r="H42" s="227"/>
      <c r="I42" s="227"/>
      <c r="J42" s="227"/>
      <c r="K42" s="227"/>
      <c r="L42" s="227"/>
      <c r="M42" s="227"/>
      <c r="N42" s="227"/>
      <c r="O42" s="227"/>
      <c r="P42" s="227"/>
      <c r="Q42" s="227"/>
      <c r="R42" s="227"/>
      <c r="S42" s="227"/>
      <c r="T42" s="227"/>
      <c r="U42" s="227"/>
      <c r="V42" s="227"/>
      <c r="W42" s="227"/>
      <c r="X42" s="227"/>
      <c r="Y42" s="227"/>
      <c r="Z42" s="227"/>
    </row>
    <row r="43" spans="1:26" ht="16.8">
      <c r="A43" s="230"/>
      <c r="B43" s="227"/>
      <c r="C43" s="227"/>
      <c r="D43" s="227"/>
      <c r="E43" s="227"/>
      <c r="F43" s="227"/>
      <c r="G43" s="227"/>
      <c r="H43" s="227"/>
      <c r="I43" s="227"/>
      <c r="J43" s="227"/>
      <c r="K43" s="227"/>
      <c r="L43" s="227"/>
      <c r="M43" s="227"/>
      <c r="N43" s="227"/>
      <c r="O43" s="227"/>
      <c r="P43" s="227"/>
      <c r="Q43" s="227"/>
      <c r="R43" s="227"/>
      <c r="S43" s="227"/>
      <c r="T43" s="227"/>
      <c r="U43" s="227"/>
      <c r="V43" s="227"/>
      <c r="W43" s="227"/>
      <c r="X43" s="227"/>
      <c r="Y43" s="227"/>
      <c r="Z43" s="227"/>
    </row>
    <row r="44" spans="1:26" ht="16.8">
      <c r="A44" s="227"/>
      <c r="B44" s="227"/>
      <c r="C44" s="227"/>
      <c r="D44" s="227"/>
      <c r="E44" s="227"/>
      <c r="F44" s="227"/>
      <c r="G44" s="227"/>
      <c r="H44" s="227"/>
      <c r="I44" s="227"/>
      <c r="J44" s="227"/>
      <c r="K44" s="227"/>
      <c r="L44" s="227"/>
      <c r="M44" s="227"/>
      <c r="N44" s="227"/>
      <c r="O44" s="227"/>
      <c r="P44" s="227"/>
      <c r="Q44" s="227"/>
      <c r="R44" s="227"/>
      <c r="S44" s="227"/>
      <c r="T44" s="227"/>
      <c r="U44" s="227"/>
      <c r="V44" s="227"/>
      <c r="W44" s="227"/>
      <c r="X44" s="227"/>
      <c r="Y44" s="227"/>
      <c r="Z44" s="227"/>
    </row>
    <row r="45" spans="1:26" ht="16.8">
      <c r="A45" s="230"/>
      <c r="B45" s="227"/>
      <c r="C45" s="227"/>
      <c r="D45" s="227"/>
      <c r="E45" s="227"/>
      <c r="F45" s="227"/>
      <c r="G45" s="227"/>
      <c r="H45" s="227"/>
      <c r="I45" s="227"/>
      <c r="J45" s="227"/>
      <c r="K45" s="227"/>
      <c r="L45" s="227"/>
      <c r="M45" s="227"/>
      <c r="N45" s="227"/>
      <c r="O45" s="227"/>
      <c r="P45" s="227"/>
      <c r="Q45" s="227"/>
      <c r="R45" s="227"/>
      <c r="S45" s="227"/>
      <c r="T45" s="227"/>
      <c r="U45" s="227"/>
      <c r="V45" s="227"/>
      <c r="W45" s="227"/>
      <c r="X45" s="227"/>
      <c r="Y45" s="227"/>
      <c r="Z45" s="227"/>
    </row>
    <row r="46" spans="1:26" ht="16.8">
      <c r="A46" s="227"/>
      <c r="B46" s="227"/>
      <c r="C46" s="227"/>
      <c r="D46" s="227"/>
      <c r="E46" s="227"/>
      <c r="F46" s="227"/>
      <c r="G46" s="227"/>
      <c r="H46" s="227"/>
      <c r="I46" s="227"/>
      <c r="J46" s="227"/>
      <c r="K46" s="227"/>
      <c r="L46" s="227"/>
      <c r="M46" s="227"/>
      <c r="N46" s="227"/>
      <c r="O46" s="227"/>
      <c r="P46" s="227"/>
      <c r="Q46" s="227"/>
      <c r="R46" s="227"/>
      <c r="S46" s="227"/>
      <c r="T46" s="227"/>
      <c r="U46" s="227"/>
      <c r="V46" s="227"/>
      <c r="W46" s="227"/>
      <c r="X46" s="227"/>
      <c r="Y46" s="227"/>
      <c r="Z46" s="227"/>
    </row>
    <row r="47" spans="1:26" ht="16.8">
      <c r="A47" s="227"/>
      <c r="B47" s="227"/>
      <c r="C47" s="227"/>
      <c r="D47" s="227"/>
      <c r="E47" s="227"/>
      <c r="F47" s="227"/>
      <c r="G47" s="227"/>
      <c r="H47" s="227"/>
      <c r="I47" s="227"/>
      <c r="J47" s="227"/>
      <c r="K47" s="227"/>
      <c r="L47" s="227"/>
      <c r="M47" s="227"/>
      <c r="N47" s="227"/>
      <c r="O47" s="227"/>
      <c r="P47" s="227"/>
      <c r="Q47" s="227"/>
      <c r="R47" s="227"/>
      <c r="S47" s="227"/>
      <c r="T47" s="227"/>
      <c r="U47" s="227"/>
      <c r="V47" s="227"/>
      <c r="W47" s="227"/>
      <c r="X47" s="227"/>
      <c r="Y47" s="227"/>
      <c r="Z47" s="227"/>
    </row>
    <row r="48" spans="1:26" ht="16.8">
      <c r="A48" s="227"/>
      <c r="B48" s="227"/>
      <c r="C48" s="227"/>
      <c r="D48" s="227"/>
      <c r="E48" s="227"/>
      <c r="F48" s="227"/>
      <c r="G48" s="227"/>
      <c r="H48" s="227"/>
      <c r="I48" s="227"/>
      <c r="J48" s="227"/>
      <c r="K48" s="227"/>
      <c r="L48" s="227"/>
      <c r="M48" s="227"/>
      <c r="N48" s="227"/>
      <c r="O48" s="227"/>
      <c r="P48" s="227"/>
      <c r="Q48" s="227"/>
      <c r="R48" s="227"/>
      <c r="S48" s="227"/>
      <c r="T48" s="227"/>
      <c r="U48" s="227"/>
      <c r="V48" s="227"/>
      <c r="W48" s="227"/>
      <c r="X48" s="227"/>
      <c r="Y48" s="227"/>
      <c r="Z48" s="227"/>
    </row>
    <row r="49" spans="1:26" ht="16.8">
      <c r="A49" s="227"/>
      <c r="B49" s="227"/>
      <c r="C49" s="227"/>
      <c r="D49" s="227"/>
      <c r="E49" s="227"/>
      <c r="F49" s="227"/>
      <c r="G49" s="227"/>
      <c r="H49" s="227"/>
      <c r="I49" s="227"/>
      <c r="J49" s="227"/>
      <c r="K49" s="227"/>
      <c r="L49" s="227"/>
      <c r="M49" s="227"/>
      <c r="N49" s="227"/>
      <c r="O49" s="227"/>
      <c r="P49" s="227"/>
      <c r="Q49" s="227"/>
      <c r="R49" s="227"/>
      <c r="S49" s="227"/>
      <c r="T49" s="227"/>
      <c r="U49" s="227"/>
      <c r="V49" s="227"/>
      <c r="W49" s="227"/>
      <c r="X49" s="227"/>
      <c r="Y49" s="227"/>
      <c r="Z49" s="227"/>
    </row>
    <row r="50" spans="1:26" ht="16.8">
      <c r="A50" s="227"/>
      <c r="B50" s="227"/>
      <c r="C50" s="227"/>
      <c r="D50" s="227"/>
      <c r="E50" s="227"/>
      <c r="F50" s="227"/>
      <c r="G50" s="227"/>
      <c r="H50" s="227"/>
      <c r="I50" s="227"/>
      <c r="J50" s="227"/>
      <c r="K50" s="227"/>
      <c r="L50" s="227"/>
      <c r="M50" s="227"/>
      <c r="N50" s="227"/>
      <c r="O50" s="227"/>
      <c r="P50" s="227"/>
      <c r="Q50" s="227"/>
      <c r="R50" s="227"/>
      <c r="S50" s="227"/>
      <c r="T50" s="227"/>
      <c r="U50" s="227"/>
      <c r="V50" s="227"/>
      <c r="W50" s="227"/>
      <c r="X50" s="227"/>
      <c r="Y50" s="227"/>
      <c r="Z50" s="227"/>
    </row>
    <row r="51" spans="1:26" ht="16.8">
      <c r="A51" s="227"/>
      <c r="B51" s="227"/>
      <c r="C51" s="227"/>
      <c r="D51" s="227"/>
      <c r="E51" s="227"/>
      <c r="F51" s="227"/>
      <c r="G51" s="227"/>
      <c r="H51" s="227"/>
      <c r="I51" s="227"/>
      <c r="J51" s="227"/>
      <c r="K51" s="227"/>
      <c r="L51" s="227"/>
      <c r="M51" s="227"/>
      <c r="N51" s="227"/>
      <c r="O51" s="227"/>
      <c r="P51" s="227"/>
      <c r="Q51" s="227"/>
      <c r="R51" s="227"/>
      <c r="S51" s="227"/>
      <c r="T51" s="227"/>
      <c r="U51" s="227"/>
      <c r="V51" s="227"/>
      <c r="W51" s="227"/>
      <c r="X51" s="227"/>
      <c r="Y51" s="227"/>
      <c r="Z51" s="227"/>
    </row>
    <row r="52" spans="1:26" ht="16.8">
      <c r="A52" s="227"/>
      <c r="B52" s="227"/>
      <c r="C52" s="227"/>
      <c r="D52" s="227"/>
      <c r="E52" s="227"/>
      <c r="F52" s="227"/>
      <c r="G52" s="227"/>
      <c r="H52" s="227"/>
      <c r="I52" s="227"/>
      <c r="J52" s="227"/>
      <c r="K52" s="227"/>
      <c r="L52" s="227"/>
      <c r="M52" s="227"/>
      <c r="N52" s="227"/>
      <c r="O52" s="227"/>
      <c r="P52" s="227"/>
      <c r="Q52" s="227"/>
      <c r="R52" s="227"/>
      <c r="S52" s="227"/>
      <c r="T52" s="227"/>
      <c r="U52" s="227"/>
      <c r="V52" s="227"/>
      <c r="W52" s="227"/>
      <c r="X52" s="227"/>
      <c r="Y52" s="227"/>
      <c r="Z52" s="227"/>
    </row>
    <row r="53" spans="1:26" ht="16.8">
      <c r="A53" s="227"/>
      <c r="B53" s="227"/>
      <c r="C53" s="227"/>
      <c r="D53" s="227"/>
      <c r="E53" s="227"/>
      <c r="F53" s="227"/>
      <c r="G53" s="227"/>
      <c r="H53" s="227"/>
      <c r="I53" s="227"/>
      <c r="J53" s="227"/>
      <c r="K53" s="227"/>
      <c r="L53" s="227"/>
      <c r="M53" s="227"/>
      <c r="N53" s="227"/>
      <c r="O53" s="227"/>
      <c r="P53" s="227"/>
      <c r="Q53" s="227"/>
      <c r="R53" s="227"/>
      <c r="S53" s="227"/>
      <c r="T53" s="227"/>
      <c r="U53" s="227"/>
      <c r="V53" s="227"/>
      <c r="W53" s="227"/>
      <c r="X53" s="227"/>
      <c r="Y53" s="227"/>
      <c r="Z53" s="227"/>
    </row>
    <row r="54" spans="1:26" ht="16.8">
      <c r="A54" s="226"/>
      <c r="B54" s="227"/>
      <c r="C54" s="227"/>
      <c r="D54" s="227"/>
      <c r="E54" s="227"/>
      <c r="F54" s="227"/>
      <c r="G54" s="227"/>
      <c r="H54" s="227"/>
      <c r="I54" s="227"/>
      <c r="J54" s="227"/>
      <c r="K54" s="227"/>
      <c r="L54" s="227"/>
      <c r="M54" s="227"/>
      <c r="N54" s="227"/>
      <c r="O54" s="227"/>
      <c r="P54" s="227"/>
      <c r="Q54" s="227"/>
      <c r="R54" s="227"/>
      <c r="S54" s="227"/>
      <c r="T54" s="227"/>
      <c r="U54" s="227"/>
      <c r="V54" s="227"/>
      <c r="W54" s="227"/>
      <c r="X54" s="227"/>
      <c r="Y54" s="227"/>
      <c r="Z54" s="227"/>
    </row>
    <row r="55" spans="1:26" ht="16.8">
      <c r="A55" s="227"/>
      <c r="B55" s="227"/>
      <c r="C55" s="227"/>
      <c r="D55" s="227"/>
      <c r="E55" s="227"/>
      <c r="F55" s="227"/>
      <c r="G55" s="227"/>
      <c r="H55" s="227"/>
      <c r="I55" s="227"/>
      <c r="J55" s="227"/>
      <c r="K55" s="227"/>
      <c r="L55" s="227"/>
      <c r="M55" s="227"/>
      <c r="N55" s="227"/>
      <c r="O55" s="227"/>
      <c r="P55" s="227"/>
      <c r="Q55" s="227"/>
      <c r="R55" s="227"/>
      <c r="S55" s="227"/>
      <c r="T55" s="227"/>
      <c r="U55" s="227"/>
      <c r="V55" s="227"/>
      <c r="W55" s="227"/>
      <c r="X55" s="227"/>
      <c r="Y55" s="227"/>
      <c r="Z55" s="227"/>
    </row>
    <row r="56" spans="1:26" ht="16.8">
      <c r="A56" s="227"/>
      <c r="B56" s="227"/>
      <c r="C56" s="227"/>
      <c r="D56" s="227"/>
      <c r="E56" s="227"/>
      <c r="F56" s="227"/>
      <c r="G56" s="227"/>
      <c r="H56" s="227"/>
      <c r="I56" s="227"/>
      <c r="J56" s="227"/>
      <c r="K56" s="227"/>
      <c r="L56" s="227"/>
      <c r="M56" s="227"/>
      <c r="N56" s="227"/>
      <c r="O56" s="227"/>
      <c r="P56" s="227"/>
      <c r="Q56" s="227"/>
      <c r="R56" s="227"/>
      <c r="S56" s="227"/>
      <c r="T56" s="227"/>
      <c r="U56" s="227"/>
      <c r="V56" s="227"/>
      <c r="W56" s="227"/>
      <c r="X56" s="227"/>
      <c r="Y56" s="227"/>
      <c r="Z56" s="227"/>
    </row>
    <row r="57" spans="1:26" ht="16.8">
      <c r="A57" s="227"/>
      <c r="B57" s="227"/>
      <c r="C57" s="227"/>
      <c r="D57" s="227"/>
      <c r="E57" s="227"/>
      <c r="F57" s="227"/>
      <c r="G57" s="227"/>
      <c r="H57" s="227"/>
      <c r="I57" s="227"/>
      <c r="J57" s="227"/>
      <c r="K57" s="227"/>
      <c r="L57" s="227"/>
      <c r="M57" s="227"/>
      <c r="N57" s="227"/>
      <c r="O57" s="227"/>
      <c r="P57" s="227"/>
      <c r="Q57" s="227"/>
      <c r="R57" s="227"/>
      <c r="S57" s="227"/>
      <c r="T57" s="227"/>
      <c r="U57" s="227"/>
      <c r="V57" s="227"/>
      <c r="W57" s="227"/>
      <c r="X57" s="227"/>
      <c r="Y57" s="227"/>
      <c r="Z57" s="227"/>
    </row>
    <row r="58" spans="1:26" ht="16.8">
      <c r="A58" s="227"/>
      <c r="B58" s="227"/>
      <c r="C58" s="227"/>
      <c r="D58" s="227"/>
      <c r="E58" s="227"/>
      <c r="F58" s="227"/>
      <c r="G58" s="227"/>
      <c r="H58" s="227"/>
      <c r="I58" s="227"/>
      <c r="J58" s="227"/>
      <c r="K58" s="227"/>
      <c r="L58" s="227"/>
      <c r="M58" s="227"/>
      <c r="N58" s="227"/>
      <c r="O58" s="227"/>
      <c r="P58" s="227"/>
      <c r="Q58" s="227"/>
      <c r="R58" s="227"/>
      <c r="S58" s="227"/>
      <c r="T58" s="227"/>
      <c r="U58" s="227"/>
      <c r="V58" s="227"/>
      <c r="W58" s="227"/>
      <c r="X58" s="227"/>
      <c r="Y58" s="227"/>
      <c r="Z58" s="227"/>
    </row>
    <row r="59" spans="1:26" ht="16.8">
      <c r="A59" s="227"/>
      <c r="B59" s="227"/>
      <c r="C59" s="227"/>
      <c r="D59" s="227"/>
      <c r="E59" s="227"/>
      <c r="F59" s="227"/>
      <c r="G59" s="227"/>
      <c r="H59" s="227"/>
      <c r="I59" s="227"/>
      <c r="J59" s="227"/>
      <c r="K59" s="227"/>
      <c r="L59" s="227"/>
      <c r="M59" s="227"/>
      <c r="N59" s="227"/>
      <c r="O59" s="227"/>
      <c r="P59" s="227"/>
      <c r="Q59" s="227"/>
      <c r="R59" s="227"/>
      <c r="S59" s="227"/>
      <c r="T59" s="227"/>
      <c r="U59" s="227"/>
      <c r="V59" s="227"/>
      <c r="W59" s="227"/>
      <c r="X59" s="227"/>
      <c r="Y59" s="227"/>
      <c r="Z59" s="227"/>
    </row>
    <row r="60" spans="1:26" ht="16.8">
      <c r="A60" s="230"/>
      <c r="B60" s="227"/>
      <c r="C60" s="227"/>
      <c r="D60" s="227"/>
      <c r="E60" s="227"/>
      <c r="F60" s="227"/>
      <c r="G60" s="227"/>
      <c r="H60" s="227"/>
      <c r="I60" s="227"/>
      <c r="J60" s="227"/>
      <c r="K60" s="227"/>
      <c r="L60" s="227"/>
      <c r="M60" s="227"/>
      <c r="N60" s="227"/>
      <c r="O60" s="227"/>
      <c r="P60" s="227"/>
      <c r="Q60" s="227"/>
      <c r="R60" s="227"/>
      <c r="S60" s="227"/>
      <c r="T60" s="227"/>
      <c r="U60" s="227"/>
      <c r="V60" s="227"/>
      <c r="W60" s="227"/>
      <c r="X60" s="227"/>
      <c r="Y60" s="227"/>
      <c r="Z60" s="227"/>
    </row>
    <row r="61" spans="1:26" ht="16.8">
      <c r="A61" s="227"/>
      <c r="B61" s="227"/>
      <c r="C61" s="227"/>
      <c r="D61" s="227"/>
      <c r="E61" s="227"/>
      <c r="F61" s="227"/>
      <c r="G61" s="227"/>
      <c r="H61" s="227"/>
      <c r="I61" s="227"/>
      <c r="J61" s="227"/>
      <c r="K61" s="227"/>
      <c r="L61" s="227"/>
      <c r="M61" s="227"/>
      <c r="N61" s="227"/>
      <c r="O61" s="227"/>
      <c r="P61" s="227"/>
      <c r="Q61" s="227"/>
      <c r="R61" s="227"/>
      <c r="S61" s="227"/>
      <c r="T61" s="227"/>
      <c r="U61" s="227"/>
      <c r="V61" s="227"/>
      <c r="W61" s="227"/>
      <c r="X61" s="227"/>
      <c r="Y61" s="227"/>
      <c r="Z61" s="227"/>
    </row>
    <row r="62" spans="1:26" ht="16.8">
      <c r="A62" s="230"/>
      <c r="B62" s="227"/>
      <c r="C62" s="227"/>
      <c r="D62" s="227"/>
      <c r="E62" s="227"/>
      <c r="F62" s="227"/>
      <c r="G62" s="227"/>
      <c r="H62" s="227"/>
      <c r="I62" s="227"/>
      <c r="J62" s="227"/>
      <c r="K62" s="227"/>
      <c r="L62" s="227"/>
      <c r="M62" s="227"/>
      <c r="N62" s="227"/>
      <c r="O62" s="227"/>
      <c r="P62" s="227"/>
      <c r="Q62" s="227"/>
      <c r="R62" s="227"/>
      <c r="S62" s="227"/>
      <c r="T62" s="227"/>
      <c r="U62" s="227"/>
      <c r="V62" s="227"/>
      <c r="W62" s="227"/>
      <c r="X62" s="227"/>
      <c r="Y62" s="227"/>
      <c r="Z62" s="227"/>
    </row>
    <row r="63" spans="1:26" ht="16.8">
      <c r="A63" s="227"/>
      <c r="B63" s="227"/>
      <c r="C63" s="227"/>
      <c r="D63" s="227"/>
      <c r="E63" s="227"/>
      <c r="F63" s="227"/>
      <c r="G63" s="227"/>
      <c r="H63" s="227"/>
      <c r="I63" s="227"/>
      <c r="J63" s="227"/>
      <c r="K63" s="227"/>
      <c r="L63" s="227"/>
      <c r="M63" s="227"/>
      <c r="N63" s="227"/>
      <c r="O63" s="227"/>
      <c r="P63" s="227"/>
      <c r="Q63" s="227"/>
      <c r="R63" s="227"/>
      <c r="S63" s="227"/>
      <c r="T63" s="227"/>
      <c r="U63" s="227"/>
      <c r="V63" s="227"/>
      <c r="W63" s="227"/>
      <c r="X63" s="227"/>
      <c r="Y63" s="227"/>
      <c r="Z63" s="227"/>
    </row>
    <row r="64" spans="1:26" ht="16.8">
      <c r="A64" s="227"/>
      <c r="B64" s="227"/>
      <c r="C64" s="227"/>
      <c r="D64" s="227"/>
      <c r="E64" s="227"/>
      <c r="F64" s="227"/>
      <c r="G64" s="227"/>
      <c r="H64" s="227"/>
      <c r="I64" s="227"/>
      <c r="J64" s="227"/>
      <c r="K64" s="227"/>
      <c r="L64" s="227"/>
      <c r="M64" s="227"/>
      <c r="N64" s="227"/>
      <c r="O64" s="227"/>
      <c r="P64" s="227"/>
      <c r="Q64" s="227"/>
      <c r="R64" s="227"/>
      <c r="S64" s="227"/>
      <c r="T64" s="227"/>
      <c r="U64" s="227"/>
      <c r="V64" s="227"/>
      <c r="W64" s="227"/>
      <c r="X64" s="227"/>
      <c r="Y64" s="227"/>
      <c r="Z64" s="227"/>
    </row>
    <row r="65" spans="1:26" ht="16.8">
      <c r="A65" s="227"/>
      <c r="B65" s="227"/>
      <c r="C65" s="227"/>
      <c r="D65" s="227"/>
      <c r="E65" s="227"/>
      <c r="F65" s="227"/>
      <c r="G65" s="227"/>
      <c r="H65" s="227"/>
      <c r="I65" s="227"/>
      <c r="J65" s="227"/>
      <c r="K65" s="227"/>
      <c r="L65" s="227"/>
      <c r="M65" s="227"/>
      <c r="N65" s="227"/>
      <c r="O65" s="227"/>
      <c r="P65" s="227"/>
      <c r="Q65" s="227"/>
      <c r="R65" s="227"/>
      <c r="S65" s="227"/>
      <c r="T65" s="227"/>
      <c r="U65" s="227"/>
      <c r="V65" s="227"/>
      <c r="W65" s="227"/>
      <c r="X65" s="227"/>
      <c r="Y65" s="227"/>
      <c r="Z65" s="227"/>
    </row>
    <row r="66" spans="1:26" ht="16.8">
      <c r="A66" s="227"/>
      <c r="B66" s="227"/>
      <c r="C66" s="227"/>
      <c r="D66" s="227"/>
      <c r="E66" s="227"/>
      <c r="F66" s="227"/>
      <c r="G66" s="227"/>
      <c r="H66" s="227"/>
      <c r="I66" s="227"/>
      <c r="J66" s="227"/>
      <c r="K66" s="227"/>
      <c r="L66" s="227"/>
      <c r="M66" s="227"/>
      <c r="N66" s="227"/>
      <c r="O66" s="227"/>
      <c r="P66" s="227"/>
      <c r="Q66" s="227"/>
      <c r="R66" s="227"/>
      <c r="S66" s="227"/>
      <c r="T66" s="227"/>
      <c r="U66" s="227"/>
      <c r="V66" s="227"/>
      <c r="W66" s="227"/>
      <c r="X66" s="227"/>
      <c r="Y66" s="227"/>
      <c r="Z66" s="227"/>
    </row>
    <row r="67" spans="1:26" ht="16.8">
      <c r="A67" s="227"/>
      <c r="B67" s="227"/>
      <c r="C67" s="227"/>
      <c r="D67" s="227"/>
      <c r="E67" s="227"/>
      <c r="F67" s="227"/>
      <c r="G67" s="227"/>
      <c r="H67" s="227"/>
      <c r="I67" s="227"/>
      <c r="J67" s="227"/>
      <c r="K67" s="227"/>
      <c r="L67" s="227"/>
      <c r="M67" s="227"/>
      <c r="N67" s="227"/>
      <c r="O67" s="227"/>
      <c r="P67" s="227"/>
      <c r="Q67" s="227"/>
      <c r="R67" s="227"/>
      <c r="S67" s="227"/>
      <c r="T67" s="227"/>
      <c r="U67" s="227"/>
      <c r="V67" s="227"/>
      <c r="W67" s="227"/>
      <c r="X67" s="227"/>
      <c r="Y67" s="227"/>
      <c r="Z67" s="227"/>
    </row>
    <row r="68" spans="1:26" ht="16.8">
      <c r="A68" s="227"/>
      <c r="B68" s="227"/>
      <c r="C68" s="227"/>
      <c r="D68" s="227"/>
      <c r="E68" s="227"/>
      <c r="F68" s="227"/>
      <c r="G68" s="227"/>
      <c r="H68" s="227"/>
      <c r="I68" s="227"/>
      <c r="J68" s="227"/>
      <c r="K68" s="227"/>
      <c r="L68" s="227"/>
      <c r="M68" s="227"/>
      <c r="N68" s="227"/>
      <c r="O68" s="227"/>
      <c r="P68" s="227"/>
      <c r="Q68" s="227"/>
      <c r="R68" s="227"/>
      <c r="S68" s="227"/>
      <c r="T68" s="227"/>
      <c r="U68" s="227"/>
      <c r="V68" s="227"/>
      <c r="W68" s="227"/>
      <c r="X68" s="227"/>
      <c r="Y68" s="227"/>
      <c r="Z68" s="227"/>
    </row>
    <row r="69" spans="1:26" ht="16.8">
      <c r="A69" s="227"/>
      <c r="B69" s="227"/>
      <c r="C69" s="227"/>
      <c r="D69" s="227"/>
      <c r="E69" s="227"/>
      <c r="F69" s="227"/>
      <c r="G69" s="227"/>
      <c r="H69" s="227"/>
      <c r="I69" s="227"/>
      <c r="J69" s="227"/>
      <c r="K69" s="227"/>
      <c r="L69" s="227"/>
      <c r="M69" s="227"/>
      <c r="N69" s="227"/>
      <c r="O69" s="227"/>
      <c r="P69" s="227"/>
      <c r="Q69" s="227"/>
      <c r="R69" s="227"/>
      <c r="S69" s="227"/>
      <c r="T69" s="227"/>
      <c r="U69" s="227"/>
      <c r="V69" s="227"/>
      <c r="W69" s="227"/>
      <c r="X69" s="227"/>
      <c r="Y69" s="227"/>
      <c r="Z69" s="227"/>
    </row>
    <row r="70" spans="1:26" ht="16.8">
      <c r="A70" s="227"/>
      <c r="B70" s="227"/>
      <c r="C70" s="227"/>
      <c r="D70" s="227"/>
      <c r="E70" s="227"/>
      <c r="F70" s="227"/>
      <c r="G70" s="227"/>
      <c r="H70" s="227"/>
      <c r="I70" s="227"/>
      <c r="J70" s="227"/>
      <c r="K70" s="227"/>
      <c r="L70" s="227"/>
      <c r="M70" s="227"/>
      <c r="N70" s="227"/>
      <c r="O70" s="227"/>
      <c r="P70" s="227"/>
      <c r="Q70" s="227"/>
      <c r="R70" s="227"/>
      <c r="S70" s="227"/>
      <c r="T70" s="227"/>
      <c r="U70" s="227"/>
      <c r="V70" s="227"/>
      <c r="W70" s="227"/>
      <c r="X70" s="227"/>
      <c r="Y70" s="227"/>
      <c r="Z70" s="227"/>
    </row>
    <row r="71" spans="1:26" ht="16.8">
      <c r="A71" s="226"/>
      <c r="B71" s="227"/>
      <c r="C71" s="227"/>
      <c r="D71" s="227"/>
      <c r="E71" s="227"/>
      <c r="F71" s="227"/>
      <c r="G71" s="227"/>
      <c r="H71" s="227"/>
      <c r="I71" s="227"/>
      <c r="J71" s="227"/>
      <c r="K71" s="227"/>
      <c r="L71" s="227"/>
      <c r="M71" s="227"/>
      <c r="N71" s="227"/>
      <c r="O71" s="227"/>
      <c r="P71" s="227"/>
      <c r="Q71" s="227"/>
      <c r="R71" s="227"/>
      <c r="S71" s="227"/>
      <c r="T71" s="227"/>
      <c r="U71" s="227"/>
      <c r="V71" s="227"/>
      <c r="W71" s="227"/>
      <c r="X71" s="227"/>
      <c r="Y71" s="227"/>
      <c r="Z71" s="227"/>
    </row>
    <row r="72" spans="1:26" ht="16.8">
      <c r="A72" s="227"/>
      <c r="B72" s="227"/>
      <c r="C72" s="227"/>
      <c r="D72" s="227"/>
      <c r="E72" s="227"/>
      <c r="F72" s="227"/>
      <c r="G72" s="227"/>
      <c r="H72" s="227"/>
      <c r="I72" s="227"/>
      <c r="J72" s="227"/>
      <c r="K72" s="227"/>
      <c r="L72" s="227"/>
      <c r="M72" s="227"/>
      <c r="N72" s="227"/>
      <c r="O72" s="227"/>
      <c r="P72" s="227"/>
      <c r="Q72" s="227"/>
      <c r="R72" s="227"/>
      <c r="S72" s="227"/>
      <c r="T72" s="227"/>
      <c r="U72" s="227"/>
      <c r="V72" s="227"/>
      <c r="W72" s="227"/>
      <c r="X72" s="227"/>
      <c r="Y72" s="227"/>
      <c r="Z72" s="227"/>
    </row>
    <row r="73" spans="1:26" ht="16.8">
      <c r="A73" s="227"/>
      <c r="B73" s="227"/>
      <c r="C73" s="227"/>
      <c r="D73" s="227"/>
      <c r="E73" s="227"/>
      <c r="F73" s="227"/>
      <c r="G73" s="227"/>
      <c r="H73" s="227"/>
      <c r="I73" s="227"/>
      <c r="J73" s="227"/>
      <c r="K73" s="227"/>
      <c r="L73" s="227"/>
      <c r="M73" s="227"/>
      <c r="N73" s="227"/>
      <c r="O73" s="227"/>
      <c r="P73" s="227"/>
      <c r="Q73" s="227"/>
      <c r="R73" s="227"/>
      <c r="S73" s="227"/>
      <c r="T73" s="227"/>
      <c r="U73" s="227"/>
      <c r="V73" s="227"/>
      <c r="W73" s="227"/>
      <c r="X73" s="227"/>
      <c r="Y73" s="227"/>
      <c r="Z73" s="227"/>
    </row>
    <row r="74" spans="1:26" ht="16.8">
      <c r="A74" s="227"/>
      <c r="B74" s="227"/>
      <c r="C74" s="227"/>
      <c r="D74" s="227"/>
      <c r="E74" s="227"/>
      <c r="F74" s="227"/>
      <c r="G74" s="227"/>
      <c r="H74" s="227"/>
      <c r="I74" s="227"/>
      <c r="J74" s="227"/>
      <c r="K74" s="227"/>
      <c r="L74" s="227"/>
      <c r="M74" s="227"/>
      <c r="N74" s="227"/>
      <c r="O74" s="227"/>
      <c r="P74" s="227"/>
      <c r="Q74" s="227"/>
      <c r="R74" s="227"/>
      <c r="S74" s="227"/>
      <c r="T74" s="227"/>
      <c r="U74" s="227"/>
      <c r="V74" s="227"/>
      <c r="W74" s="227"/>
      <c r="X74" s="227"/>
      <c r="Y74" s="227"/>
      <c r="Z74" s="227"/>
    </row>
    <row r="75" spans="1:26" ht="16.8">
      <c r="A75" s="227"/>
      <c r="B75" s="227"/>
      <c r="C75" s="227"/>
      <c r="D75" s="227"/>
      <c r="E75" s="227"/>
      <c r="F75" s="227"/>
      <c r="G75" s="227"/>
      <c r="H75" s="227"/>
      <c r="I75" s="227"/>
      <c r="J75" s="227"/>
      <c r="K75" s="227"/>
      <c r="L75" s="227"/>
      <c r="M75" s="227"/>
      <c r="N75" s="227"/>
      <c r="O75" s="227"/>
      <c r="P75" s="227"/>
      <c r="Q75" s="227"/>
      <c r="R75" s="227"/>
      <c r="S75" s="227"/>
      <c r="T75" s="227"/>
      <c r="U75" s="227"/>
      <c r="V75" s="227"/>
      <c r="W75" s="227"/>
      <c r="X75" s="227"/>
      <c r="Y75" s="227"/>
      <c r="Z75" s="227"/>
    </row>
    <row r="76" spans="1:26" ht="16.8">
      <c r="A76" s="227"/>
      <c r="B76" s="227"/>
      <c r="C76" s="227"/>
      <c r="D76" s="227"/>
      <c r="E76" s="227"/>
      <c r="F76" s="227"/>
      <c r="G76" s="227"/>
      <c r="H76" s="227"/>
      <c r="I76" s="227"/>
      <c r="J76" s="227"/>
      <c r="K76" s="227"/>
      <c r="L76" s="227"/>
      <c r="M76" s="227"/>
      <c r="N76" s="227"/>
      <c r="O76" s="227"/>
      <c r="P76" s="227"/>
      <c r="Q76" s="227"/>
      <c r="R76" s="227"/>
      <c r="S76" s="227"/>
      <c r="T76" s="227"/>
      <c r="U76" s="227"/>
      <c r="V76" s="227"/>
      <c r="W76" s="227"/>
      <c r="X76" s="227"/>
      <c r="Y76" s="227"/>
      <c r="Z76" s="227"/>
    </row>
    <row r="77" spans="1:26" ht="16.8">
      <c r="A77" s="230"/>
      <c r="B77" s="227"/>
      <c r="C77" s="227"/>
      <c r="D77" s="227"/>
      <c r="E77" s="227"/>
      <c r="F77" s="227"/>
      <c r="G77" s="227"/>
      <c r="H77" s="227"/>
      <c r="I77" s="227"/>
      <c r="J77" s="227"/>
      <c r="K77" s="227"/>
      <c r="L77" s="227"/>
      <c r="M77" s="227"/>
      <c r="N77" s="227"/>
      <c r="O77" s="227"/>
      <c r="P77" s="227"/>
      <c r="Q77" s="227"/>
      <c r="R77" s="227"/>
      <c r="S77" s="227"/>
      <c r="T77" s="227"/>
      <c r="U77" s="227"/>
      <c r="V77" s="227"/>
      <c r="W77" s="227"/>
      <c r="X77" s="227"/>
      <c r="Y77" s="227"/>
      <c r="Z77" s="227"/>
    </row>
    <row r="78" spans="1:26" ht="16.8">
      <c r="A78" s="227"/>
      <c r="B78" s="227"/>
      <c r="C78" s="227"/>
      <c r="D78" s="227"/>
      <c r="E78" s="227"/>
      <c r="F78" s="227"/>
      <c r="G78" s="227"/>
      <c r="H78" s="227"/>
      <c r="I78" s="227"/>
      <c r="J78" s="227"/>
      <c r="K78" s="227"/>
      <c r="L78" s="227"/>
      <c r="M78" s="227"/>
      <c r="N78" s="227"/>
      <c r="O78" s="227"/>
      <c r="P78" s="227"/>
      <c r="Q78" s="227"/>
      <c r="R78" s="227"/>
      <c r="S78" s="227"/>
      <c r="T78" s="227"/>
      <c r="U78" s="227"/>
      <c r="V78" s="227"/>
      <c r="W78" s="227"/>
      <c r="X78" s="227"/>
      <c r="Y78" s="227"/>
      <c r="Z78" s="227"/>
    </row>
    <row r="79" spans="1:26" ht="16.8">
      <c r="A79" s="230"/>
      <c r="B79" s="227"/>
      <c r="C79" s="227"/>
      <c r="D79" s="227"/>
      <c r="E79" s="227"/>
      <c r="F79" s="227"/>
      <c r="G79" s="227"/>
      <c r="H79" s="227"/>
      <c r="I79" s="227"/>
      <c r="J79" s="227"/>
      <c r="K79" s="227"/>
      <c r="L79" s="227"/>
      <c r="M79" s="227"/>
      <c r="N79" s="227"/>
      <c r="O79" s="227"/>
      <c r="P79" s="227"/>
      <c r="Q79" s="227"/>
      <c r="R79" s="227"/>
      <c r="S79" s="227"/>
      <c r="T79" s="227"/>
      <c r="U79" s="227"/>
      <c r="V79" s="227"/>
      <c r="W79" s="227"/>
      <c r="X79" s="227"/>
      <c r="Y79" s="227"/>
      <c r="Z79" s="227"/>
    </row>
    <row r="80" spans="1:26" ht="16.8">
      <c r="A80" s="227"/>
      <c r="B80" s="227"/>
      <c r="C80" s="227"/>
      <c r="D80" s="227"/>
      <c r="E80" s="227"/>
      <c r="F80" s="227"/>
      <c r="G80" s="227"/>
      <c r="H80" s="227"/>
      <c r="I80" s="227"/>
      <c r="J80" s="227"/>
      <c r="K80" s="227"/>
      <c r="L80" s="227"/>
      <c r="M80" s="227"/>
      <c r="N80" s="227"/>
      <c r="O80" s="227"/>
      <c r="P80" s="227"/>
      <c r="Q80" s="227"/>
      <c r="R80" s="227"/>
      <c r="S80" s="227"/>
      <c r="T80" s="227"/>
      <c r="U80" s="227"/>
      <c r="V80" s="227"/>
      <c r="W80" s="227"/>
      <c r="X80" s="227"/>
      <c r="Y80" s="227"/>
      <c r="Z80" s="227"/>
    </row>
    <row r="81" spans="1:26" ht="16.8">
      <c r="A81" s="227"/>
      <c r="B81" s="227"/>
      <c r="C81" s="227"/>
      <c r="D81" s="227"/>
      <c r="E81" s="227"/>
      <c r="F81" s="227"/>
      <c r="G81" s="227"/>
      <c r="H81" s="227"/>
      <c r="I81" s="227"/>
      <c r="J81" s="227"/>
      <c r="K81" s="227"/>
      <c r="L81" s="227"/>
      <c r="M81" s="227"/>
      <c r="N81" s="227"/>
      <c r="O81" s="227"/>
      <c r="P81" s="227"/>
      <c r="Q81" s="227"/>
      <c r="R81" s="227"/>
      <c r="S81" s="227"/>
      <c r="T81" s="227"/>
      <c r="U81" s="227"/>
      <c r="V81" s="227"/>
      <c r="W81" s="227"/>
      <c r="X81" s="227"/>
      <c r="Y81" s="227"/>
      <c r="Z81" s="227"/>
    </row>
    <row r="82" spans="1:26" ht="16.8">
      <c r="A82" s="227"/>
      <c r="B82" s="227"/>
      <c r="C82" s="227"/>
      <c r="D82" s="227"/>
      <c r="E82" s="227"/>
      <c r="F82" s="227"/>
      <c r="G82" s="227"/>
      <c r="H82" s="227"/>
      <c r="I82" s="227"/>
      <c r="J82" s="227"/>
      <c r="K82" s="227"/>
      <c r="L82" s="227"/>
      <c r="M82" s="227"/>
      <c r="N82" s="227"/>
      <c r="O82" s="227"/>
      <c r="P82" s="227"/>
      <c r="Q82" s="227"/>
      <c r="R82" s="227"/>
      <c r="S82" s="227"/>
      <c r="T82" s="227"/>
      <c r="U82" s="227"/>
      <c r="V82" s="227"/>
      <c r="W82" s="227"/>
      <c r="X82" s="227"/>
      <c r="Y82" s="227"/>
      <c r="Z82" s="227"/>
    </row>
    <row r="83" spans="1:26" ht="16.8">
      <c r="A83" s="227"/>
      <c r="B83" s="227"/>
      <c r="C83" s="227"/>
      <c r="D83" s="227"/>
      <c r="E83" s="227"/>
      <c r="F83" s="227"/>
      <c r="G83" s="227"/>
      <c r="H83" s="227"/>
      <c r="I83" s="227"/>
      <c r="J83" s="227"/>
      <c r="K83" s="227"/>
      <c r="L83" s="227"/>
      <c r="M83" s="227"/>
      <c r="N83" s="227"/>
      <c r="O83" s="227"/>
      <c r="P83" s="227"/>
      <c r="Q83" s="227"/>
      <c r="R83" s="227"/>
      <c r="S83" s="227"/>
      <c r="T83" s="227"/>
      <c r="U83" s="227"/>
      <c r="V83" s="227"/>
      <c r="W83" s="227"/>
      <c r="X83" s="227"/>
      <c r="Y83" s="227"/>
      <c r="Z83" s="227"/>
    </row>
    <row r="84" spans="1:26" ht="16.8">
      <c r="A84" s="227"/>
      <c r="B84" s="227"/>
      <c r="C84" s="227"/>
      <c r="D84" s="227"/>
      <c r="E84" s="227"/>
      <c r="F84" s="227"/>
      <c r="G84" s="227"/>
      <c r="H84" s="227"/>
      <c r="I84" s="227"/>
      <c r="J84" s="227"/>
      <c r="K84" s="227"/>
      <c r="L84" s="227"/>
      <c r="M84" s="227"/>
      <c r="N84" s="227"/>
      <c r="O84" s="227"/>
      <c r="P84" s="227"/>
      <c r="Q84" s="227"/>
      <c r="R84" s="227"/>
      <c r="S84" s="227"/>
      <c r="T84" s="227"/>
      <c r="U84" s="227"/>
      <c r="V84" s="227"/>
      <c r="W84" s="227"/>
      <c r="X84" s="227"/>
      <c r="Y84" s="227"/>
      <c r="Z84" s="227"/>
    </row>
    <row r="85" spans="1:26" ht="16.8">
      <c r="A85" s="227"/>
      <c r="B85" s="227"/>
      <c r="C85" s="227"/>
      <c r="D85" s="227"/>
      <c r="E85" s="227"/>
      <c r="F85" s="227"/>
      <c r="G85" s="227"/>
      <c r="H85" s="227"/>
      <c r="I85" s="227"/>
      <c r="J85" s="227"/>
      <c r="K85" s="227"/>
      <c r="L85" s="227"/>
      <c r="M85" s="227"/>
      <c r="N85" s="227"/>
      <c r="O85" s="227"/>
      <c r="P85" s="227"/>
      <c r="Q85" s="227"/>
      <c r="R85" s="227"/>
      <c r="S85" s="227"/>
      <c r="T85" s="227"/>
      <c r="U85" s="227"/>
      <c r="V85" s="227"/>
      <c r="W85" s="227"/>
      <c r="X85" s="227"/>
      <c r="Y85" s="227"/>
      <c r="Z85" s="227"/>
    </row>
    <row r="86" spans="1:26" ht="16.8">
      <c r="A86" s="227"/>
      <c r="B86" s="227"/>
      <c r="C86" s="227"/>
      <c r="D86" s="227"/>
      <c r="E86" s="227"/>
      <c r="F86" s="227"/>
      <c r="G86" s="227"/>
      <c r="H86" s="227"/>
      <c r="I86" s="227"/>
      <c r="J86" s="227"/>
      <c r="K86" s="227"/>
      <c r="L86" s="227"/>
      <c r="M86" s="227"/>
      <c r="N86" s="227"/>
      <c r="O86" s="227"/>
      <c r="P86" s="227"/>
      <c r="Q86" s="227"/>
      <c r="R86" s="227"/>
      <c r="S86" s="227"/>
      <c r="T86" s="227"/>
      <c r="U86" s="227"/>
      <c r="V86" s="227"/>
      <c r="W86" s="227"/>
      <c r="X86" s="227"/>
      <c r="Y86" s="227"/>
      <c r="Z86" s="227"/>
    </row>
    <row r="87" spans="1:26" ht="16.8">
      <c r="A87" s="227"/>
      <c r="B87" s="227"/>
      <c r="C87" s="227"/>
      <c r="D87" s="227"/>
      <c r="E87" s="227"/>
      <c r="F87" s="227"/>
      <c r="G87" s="227"/>
      <c r="H87" s="227"/>
      <c r="I87" s="227"/>
      <c r="J87" s="227"/>
      <c r="K87" s="227"/>
      <c r="L87" s="227"/>
      <c r="M87" s="227"/>
      <c r="N87" s="227"/>
      <c r="O87" s="227"/>
      <c r="P87" s="227"/>
      <c r="Q87" s="227"/>
      <c r="R87" s="227"/>
      <c r="S87" s="227"/>
      <c r="T87" s="227"/>
      <c r="U87" s="227"/>
      <c r="V87" s="227"/>
      <c r="W87" s="227"/>
      <c r="X87" s="227"/>
      <c r="Y87" s="227"/>
      <c r="Z87" s="227"/>
    </row>
    <row r="88" spans="1:26" ht="16.8">
      <c r="A88" s="226"/>
      <c r="B88" s="227"/>
      <c r="C88" s="227"/>
      <c r="D88" s="227"/>
      <c r="E88" s="227"/>
      <c r="F88" s="227"/>
      <c r="G88" s="227"/>
      <c r="H88" s="227"/>
      <c r="I88" s="227"/>
      <c r="J88" s="227"/>
      <c r="K88" s="227"/>
      <c r="L88" s="227"/>
      <c r="M88" s="227"/>
      <c r="N88" s="227"/>
      <c r="O88" s="227"/>
      <c r="P88" s="227"/>
      <c r="Q88" s="227"/>
      <c r="R88" s="227"/>
      <c r="S88" s="227"/>
      <c r="T88" s="227"/>
      <c r="U88" s="227"/>
      <c r="V88" s="227"/>
      <c r="W88" s="227"/>
      <c r="X88" s="227"/>
      <c r="Y88" s="227"/>
      <c r="Z88" s="227"/>
    </row>
    <row r="89" spans="1:26" ht="16.8">
      <c r="A89" s="226"/>
      <c r="B89" s="227"/>
      <c r="C89" s="227"/>
      <c r="D89" s="227"/>
      <c r="E89" s="227"/>
      <c r="F89" s="227"/>
      <c r="G89" s="227"/>
      <c r="H89" s="227"/>
      <c r="I89" s="227"/>
      <c r="J89" s="227"/>
      <c r="K89" s="227"/>
      <c r="L89" s="227"/>
      <c r="M89" s="227"/>
      <c r="N89" s="227"/>
      <c r="O89" s="227"/>
      <c r="P89" s="227"/>
      <c r="Q89" s="227"/>
      <c r="R89" s="227"/>
      <c r="S89" s="227"/>
      <c r="T89" s="227"/>
      <c r="U89" s="227"/>
      <c r="V89" s="227"/>
      <c r="W89" s="227"/>
      <c r="X89" s="227"/>
      <c r="Y89" s="227"/>
      <c r="Z89" s="227"/>
    </row>
    <row r="90" spans="1:26" ht="16.8">
      <c r="A90" s="227"/>
      <c r="B90" s="227"/>
      <c r="C90" s="227"/>
      <c r="D90" s="227"/>
      <c r="E90" s="227"/>
      <c r="F90" s="227"/>
      <c r="G90" s="227"/>
      <c r="H90" s="227"/>
      <c r="I90" s="227"/>
      <c r="J90" s="227"/>
      <c r="K90" s="227"/>
      <c r="L90" s="227"/>
      <c r="M90" s="227"/>
      <c r="N90" s="227"/>
      <c r="O90" s="227"/>
      <c r="P90" s="227"/>
      <c r="Q90" s="227"/>
      <c r="R90" s="227"/>
      <c r="S90" s="227"/>
      <c r="T90" s="227"/>
      <c r="U90" s="227"/>
      <c r="V90" s="227"/>
      <c r="W90" s="227"/>
      <c r="X90" s="227"/>
      <c r="Y90" s="227"/>
      <c r="Z90" s="227"/>
    </row>
    <row r="91" spans="1:26" ht="16.8">
      <c r="A91" s="227"/>
      <c r="B91" s="227"/>
      <c r="C91" s="227"/>
      <c r="D91" s="227"/>
      <c r="E91" s="227"/>
      <c r="F91" s="227"/>
      <c r="G91" s="227"/>
      <c r="H91" s="227"/>
      <c r="I91" s="227"/>
      <c r="J91" s="227"/>
      <c r="K91" s="227"/>
      <c r="L91" s="227"/>
      <c r="M91" s="227"/>
      <c r="N91" s="227"/>
      <c r="O91" s="227"/>
      <c r="P91" s="227"/>
      <c r="Q91" s="227"/>
      <c r="R91" s="227"/>
      <c r="S91" s="227"/>
      <c r="T91" s="227"/>
      <c r="U91" s="227"/>
      <c r="V91" s="227"/>
      <c r="W91" s="227"/>
      <c r="X91" s="227"/>
      <c r="Y91" s="227"/>
      <c r="Z91" s="227"/>
    </row>
    <row r="92" spans="1:26" ht="16.8">
      <c r="A92" s="227"/>
      <c r="B92" s="227"/>
      <c r="C92" s="227"/>
      <c r="D92" s="227"/>
      <c r="E92" s="227"/>
      <c r="F92" s="227"/>
      <c r="G92" s="227"/>
      <c r="H92" s="227"/>
      <c r="I92" s="227"/>
      <c r="J92" s="227"/>
      <c r="K92" s="227"/>
      <c r="L92" s="227"/>
      <c r="M92" s="227"/>
      <c r="N92" s="227"/>
      <c r="O92" s="227"/>
      <c r="P92" s="227"/>
      <c r="Q92" s="227"/>
      <c r="R92" s="227"/>
      <c r="S92" s="227"/>
      <c r="T92" s="227"/>
      <c r="U92" s="227"/>
      <c r="V92" s="227"/>
      <c r="W92" s="227"/>
      <c r="X92" s="227"/>
      <c r="Y92" s="227"/>
      <c r="Z92" s="227"/>
    </row>
    <row r="93" spans="1:26" ht="16.8">
      <c r="A93" s="227"/>
      <c r="B93" s="227"/>
      <c r="C93" s="227"/>
      <c r="D93" s="227"/>
      <c r="E93" s="227"/>
      <c r="F93" s="227"/>
      <c r="G93" s="227"/>
      <c r="H93" s="227"/>
      <c r="I93" s="227"/>
      <c r="J93" s="227"/>
      <c r="K93" s="227"/>
      <c r="L93" s="227"/>
      <c r="M93" s="227"/>
      <c r="N93" s="227"/>
      <c r="O93" s="227"/>
      <c r="P93" s="227"/>
      <c r="Q93" s="227"/>
      <c r="R93" s="227"/>
      <c r="S93" s="227"/>
      <c r="T93" s="227"/>
      <c r="U93" s="227"/>
      <c r="V93" s="227"/>
      <c r="W93" s="227"/>
      <c r="X93" s="227"/>
      <c r="Y93" s="227"/>
      <c r="Z93" s="227"/>
    </row>
    <row r="94" spans="1:26" ht="16.8">
      <c r="A94" s="227"/>
      <c r="B94" s="227"/>
      <c r="C94" s="227"/>
      <c r="D94" s="227"/>
      <c r="E94" s="227"/>
      <c r="F94" s="227"/>
      <c r="G94" s="227"/>
      <c r="H94" s="227"/>
      <c r="I94" s="227"/>
      <c r="J94" s="227"/>
      <c r="K94" s="227"/>
      <c r="L94" s="227"/>
      <c r="M94" s="227"/>
      <c r="N94" s="227"/>
      <c r="O94" s="227"/>
      <c r="P94" s="227"/>
      <c r="Q94" s="227"/>
      <c r="R94" s="227"/>
      <c r="S94" s="227"/>
      <c r="T94" s="227"/>
      <c r="U94" s="227"/>
      <c r="V94" s="227"/>
      <c r="W94" s="227"/>
      <c r="X94" s="227"/>
      <c r="Y94" s="227"/>
      <c r="Z94" s="227"/>
    </row>
    <row r="95" spans="1:26" ht="16.8">
      <c r="A95" s="230"/>
      <c r="B95" s="227"/>
      <c r="C95" s="227"/>
      <c r="D95" s="227"/>
      <c r="E95" s="227"/>
      <c r="F95" s="227"/>
      <c r="G95" s="227"/>
      <c r="H95" s="227"/>
      <c r="I95" s="227"/>
      <c r="J95" s="227"/>
      <c r="K95" s="227"/>
      <c r="L95" s="227"/>
      <c r="M95" s="227"/>
      <c r="N95" s="227"/>
      <c r="O95" s="227"/>
      <c r="P95" s="227"/>
      <c r="Q95" s="227"/>
      <c r="R95" s="227"/>
      <c r="S95" s="227"/>
      <c r="T95" s="227"/>
      <c r="U95" s="227"/>
      <c r="V95" s="227"/>
      <c r="W95" s="227"/>
      <c r="X95" s="227"/>
      <c r="Y95" s="227"/>
      <c r="Z95" s="227"/>
    </row>
    <row r="96" spans="1:26" ht="16.8">
      <c r="A96" s="227"/>
      <c r="B96" s="227"/>
      <c r="C96" s="227"/>
      <c r="D96" s="227"/>
      <c r="E96" s="227"/>
      <c r="F96" s="227"/>
      <c r="G96" s="227"/>
      <c r="H96" s="227"/>
      <c r="I96" s="227"/>
      <c r="J96" s="227"/>
      <c r="K96" s="227"/>
      <c r="L96" s="227"/>
      <c r="M96" s="227"/>
      <c r="N96" s="227"/>
      <c r="O96" s="227"/>
      <c r="P96" s="227"/>
      <c r="Q96" s="227"/>
      <c r="R96" s="227"/>
      <c r="S96" s="227"/>
      <c r="T96" s="227"/>
      <c r="U96" s="227"/>
      <c r="V96" s="227"/>
      <c r="W96" s="227"/>
      <c r="X96" s="227"/>
      <c r="Y96" s="227"/>
      <c r="Z96" s="227"/>
    </row>
    <row r="97" spans="1:26" ht="16.8">
      <c r="A97" s="230"/>
      <c r="B97" s="227"/>
      <c r="C97" s="227"/>
      <c r="D97" s="227"/>
      <c r="E97" s="227"/>
      <c r="F97" s="227"/>
      <c r="G97" s="227"/>
      <c r="H97" s="227"/>
      <c r="I97" s="227"/>
      <c r="J97" s="227"/>
      <c r="K97" s="227"/>
      <c r="L97" s="227"/>
      <c r="M97" s="227"/>
      <c r="N97" s="227"/>
      <c r="O97" s="227"/>
      <c r="P97" s="227"/>
      <c r="Q97" s="227"/>
      <c r="R97" s="227"/>
      <c r="S97" s="227"/>
      <c r="T97" s="227"/>
      <c r="U97" s="227"/>
      <c r="V97" s="227"/>
      <c r="W97" s="227"/>
      <c r="X97" s="227"/>
      <c r="Y97" s="227"/>
      <c r="Z97" s="227"/>
    </row>
    <row r="98" spans="1:26" ht="16.8">
      <c r="A98" s="227"/>
      <c r="B98" s="227"/>
      <c r="C98" s="227"/>
      <c r="D98" s="227"/>
      <c r="E98" s="227"/>
      <c r="F98" s="227"/>
      <c r="G98" s="227"/>
      <c r="H98" s="227"/>
      <c r="I98" s="227"/>
      <c r="J98" s="227"/>
      <c r="K98" s="227"/>
      <c r="L98" s="227"/>
      <c r="M98" s="227"/>
      <c r="N98" s="227"/>
      <c r="O98" s="227"/>
      <c r="P98" s="227"/>
      <c r="Q98" s="227"/>
      <c r="R98" s="227"/>
      <c r="S98" s="227"/>
      <c r="T98" s="227"/>
      <c r="U98" s="227"/>
      <c r="V98" s="227"/>
      <c r="W98" s="227"/>
      <c r="X98" s="227"/>
      <c r="Y98" s="227"/>
      <c r="Z98" s="227"/>
    </row>
    <row r="99" spans="1:26" ht="16.8">
      <c r="A99" s="227"/>
      <c r="B99" s="227"/>
      <c r="C99" s="227"/>
      <c r="D99" s="227"/>
      <c r="E99" s="227"/>
      <c r="F99" s="227"/>
      <c r="G99" s="227"/>
      <c r="H99" s="227"/>
      <c r="I99" s="227"/>
      <c r="J99" s="227"/>
      <c r="K99" s="227"/>
      <c r="L99" s="227"/>
      <c r="M99" s="227"/>
      <c r="N99" s="227"/>
      <c r="O99" s="227"/>
      <c r="P99" s="227"/>
      <c r="Q99" s="227"/>
      <c r="R99" s="227"/>
      <c r="S99" s="227"/>
      <c r="T99" s="227"/>
      <c r="U99" s="227"/>
      <c r="V99" s="227"/>
      <c r="W99" s="227"/>
      <c r="X99" s="227"/>
      <c r="Y99" s="227"/>
      <c r="Z99" s="227"/>
    </row>
    <row r="100" spans="1:26" ht="16.8">
      <c r="A100" s="227"/>
      <c r="B100" s="227"/>
      <c r="C100" s="227"/>
      <c r="D100" s="227"/>
      <c r="E100" s="227"/>
      <c r="F100" s="227"/>
      <c r="G100" s="227"/>
      <c r="H100" s="227"/>
      <c r="I100" s="227"/>
      <c r="J100" s="227"/>
      <c r="K100" s="227"/>
      <c r="L100" s="227"/>
      <c r="M100" s="227"/>
      <c r="N100" s="227"/>
      <c r="O100" s="227"/>
      <c r="P100" s="227"/>
      <c r="Q100" s="227"/>
      <c r="R100" s="227"/>
      <c r="S100" s="227"/>
      <c r="T100" s="227"/>
      <c r="U100" s="227"/>
      <c r="V100" s="227"/>
      <c r="W100" s="227"/>
      <c r="X100" s="227"/>
      <c r="Y100" s="227"/>
      <c r="Z100" s="227"/>
    </row>
    <row r="101" spans="1:26" ht="16.8">
      <c r="A101" s="227"/>
      <c r="B101" s="227"/>
      <c r="C101" s="227"/>
      <c r="D101" s="227"/>
      <c r="E101" s="227"/>
      <c r="F101" s="227"/>
      <c r="G101" s="227"/>
      <c r="H101" s="227"/>
      <c r="I101" s="227"/>
      <c r="J101" s="227"/>
      <c r="K101" s="227"/>
      <c r="L101" s="227"/>
      <c r="M101" s="227"/>
      <c r="N101" s="227"/>
      <c r="O101" s="227"/>
      <c r="P101" s="227"/>
      <c r="Q101" s="227"/>
      <c r="R101" s="227"/>
      <c r="S101" s="227"/>
      <c r="T101" s="227"/>
      <c r="U101" s="227"/>
      <c r="V101" s="227"/>
      <c r="W101" s="227"/>
      <c r="X101" s="227"/>
      <c r="Y101" s="227"/>
      <c r="Z101" s="227"/>
    </row>
    <row r="102" spans="1:26" ht="16.8">
      <c r="A102" s="227"/>
      <c r="B102" s="227"/>
      <c r="C102" s="227"/>
      <c r="D102" s="227"/>
      <c r="E102" s="227"/>
      <c r="F102" s="227"/>
      <c r="G102" s="227"/>
      <c r="H102" s="227"/>
      <c r="I102" s="227"/>
      <c r="J102" s="227"/>
      <c r="K102" s="227"/>
      <c r="L102" s="227"/>
      <c r="M102" s="227"/>
      <c r="N102" s="227"/>
      <c r="O102" s="227"/>
      <c r="P102" s="227"/>
      <c r="Q102" s="227"/>
      <c r="R102" s="227"/>
      <c r="S102" s="227"/>
      <c r="T102" s="227"/>
      <c r="U102" s="227"/>
      <c r="V102" s="227"/>
      <c r="W102" s="227"/>
      <c r="X102" s="227"/>
      <c r="Y102" s="227"/>
      <c r="Z102" s="227"/>
    </row>
    <row r="103" spans="1:26" ht="16.8">
      <c r="A103" s="227"/>
      <c r="B103" s="227"/>
      <c r="C103" s="227"/>
      <c r="D103" s="227"/>
      <c r="E103" s="227"/>
      <c r="F103" s="227"/>
      <c r="G103" s="227"/>
      <c r="H103" s="227"/>
      <c r="I103" s="227"/>
      <c r="J103" s="227"/>
      <c r="K103" s="227"/>
      <c r="L103" s="227"/>
      <c r="M103" s="227"/>
      <c r="N103" s="227"/>
      <c r="O103" s="227"/>
      <c r="P103" s="227"/>
      <c r="Q103" s="227"/>
      <c r="R103" s="227"/>
      <c r="S103" s="227"/>
      <c r="T103" s="227"/>
      <c r="U103" s="227"/>
      <c r="V103" s="227"/>
      <c r="W103" s="227"/>
      <c r="X103" s="227"/>
      <c r="Y103" s="227"/>
      <c r="Z103" s="227"/>
    </row>
    <row r="104" spans="1:26" ht="16.8">
      <c r="A104" s="227"/>
      <c r="B104" s="227"/>
      <c r="C104" s="227"/>
      <c r="D104" s="227"/>
      <c r="E104" s="227"/>
      <c r="F104" s="227"/>
      <c r="G104" s="227"/>
      <c r="H104" s="227"/>
      <c r="I104" s="227"/>
      <c r="J104" s="227"/>
      <c r="K104" s="227"/>
      <c r="L104" s="227"/>
      <c r="M104" s="227"/>
      <c r="N104" s="227"/>
      <c r="O104" s="227"/>
      <c r="P104" s="227"/>
      <c r="Q104" s="227"/>
      <c r="R104" s="227"/>
      <c r="S104" s="227"/>
      <c r="T104" s="227"/>
      <c r="U104" s="227"/>
      <c r="V104" s="227"/>
      <c r="W104" s="227"/>
      <c r="X104" s="227"/>
      <c r="Y104" s="227"/>
      <c r="Z104" s="227"/>
    </row>
    <row r="105" spans="1:26" ht="16.8">
      <c r="A105" s="227"/>
      <c r="B105" s="227"/>
      <c r="C105" s="227"/>
      <c r="D105" s="227"/>
      <c r="E105" s="227"/>
      <c r="F105" s="227"/>
      <c r="G105" s="227"/>
      <c r="H105" s="227"/>
      <c r="I105" s="227"/>
      <c r="J105" s="227"/>
      <c r="K105" s="227"/>
      <c r="L105" s="227"/>
      <c r="M105" s="227"/>
      <c r="N105" s="227"/>
      <c r="O105" s="227"/>
      <c r="P105" s="227"/>
      <c r="Q105" s="227"/>
      <c r="R105" s="227"/>
      <c r="S105" s="227"/>
      <c r="T105" s="227"/>
      <c r="U105" s="227"/>
      <c r="V105" s="227"/>
      <c r="W105" s="227"/>
      <c r="X105" s="227"/>
      <c r="Y105" s="227"/>
      <c r="Z105" s="227"/>
    </row>
    <row r="106" spans="1:26" ht="16.8">
      <c r="A106" s="226"/>
      <c r="B106" s="227"/>
      <c r="C106" s="227"/>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1:26" ht="16.8">
      <c r="A107" s="227"/>
      <c r="B107" s="227"/>
      <c r="C107" s="227"/>
      <c r="D107" s="227"/>
      <c r="E107" s="227"/>
      <c r="F107" s="227"/>
      <c r="G107" s="227"/>
      <c r="H107" s="227"/>
      <c r="I107" s="227"/>
      <c r="J107" s="227"/>
      <c r="K107" s="227"/>
      <c r="L107" s="227"/>
      <c r="M107" s="227"/>
      <c r="N107" s="227"/>
      <c r="O107" s="227"/>
      <c r="P107" s="227"/>
      <c r="Q107" s="227"/>
      <c r="R107" s="227"/>
      <c r="S107" s="227"/>
      <c r="T107" s="227"/>
      <c r="U107" s="227"/>
      <c r="V107" s="227"/>
      <c r="W107" s="227"/>
      <c r="X107" s="227"/>
      <c r="Y107" s="227"/>
      <c r="Z107" s="227"/>
    </row>
    <row r="108" spans="1:26" ht="16.8">
      <c r="A108" s="227"/>
      <c r="B108" s="227"/>
      <c r="C108" s="227"/>
      <c r="D108" s="227"/>
      <c r="E108" s="227"/>
      <c r="F108" s="227"/>
      <c r="G108" s="227"/>
      <c r="H108" s="227"/>
      <c r="I108" s="227"/>
      <c r="J108" s="227"/>
      <c r="K108" s="227"/>
      <c r="L108" s="227"/>
      <c r="M108" s="227"/>
      <c r="N108" s="227"/>
      <c r="O108" s="227"/>
      <c r="P108" s="227"/>
      <c r="Q108" s="227"/>
      <c r="R108" s="227"/>
      <c r="S108" s="227"/>
      <c r="T108" s="227"/>
      <c r="U108" s="227"/>
      <c r="V108" s="227"/>
      <c r="W108" s="227"/>
      <c r="X108" s="227"/>
      <c r="Y108" s="227"/>
      <c r="Z108" s="227"/>
    </row>
    <row r="109" spans="1:26" ht="16.8">
      <c r="A109" s="227"/>
      <c r="B109" s="227"/>
      <c r="C109" s="227"/>
      <c r="D109" s="227"/>
      <c r="E109" s="227"/>
      <c r="F109" s="227"/>
      <c r="G109" s="227"/>
      <c r="H109" s="227"/>
      <c r="I109" s="227"/>
      <c r="J109" s="227"/>
      <c r="K109" s="227"/>
      <c r="L109" s="227"/>
      <c r="M109" s="227"/>
      <c r="N109" s="227"/>
      <c r="O109" s="227"/>
      <c r="P109" s="227"/>
      <c r="Q109" s="227"/>
      <c r="R109" s="227"/>
      <c r="S109" s="227"/>
      <c r="T109" s="227"/>
      <c r="U109" s="227"/>
      <c r="V109" s="227"/>
      <c r="W109" s="227"/>
      <c r="X109" s="227"/>
      <c r="Y109" s="227"/>
      <c r="Z109" s="227"/>
    </row>
    <row r="110" spans="1:26" ht="16.8">
      <c r="A110" s="227"/>
      <c r="B110" s="227"/>
      <c r="C110" s="227"/>
      <c r="D110" s="227"/>
      <c r="E110" s="227"/>
      <c r="F110" s="227"/>
      <c r="G110" s="227"/>
      <c r="H110" s="227"/>
      <c r="I110" s="227"/>
      <c r="J110" s="227"/>
      <c r="K110" s="227"/>
      <c r="L110" s="227"/>
      <c r="M110" s="227"/>
      <c r="N110" s="227"/>
      <c r="O110" s="227"/>
      <c r="P110" s="227"/>
      <c r="Q110" s="227"/>
      <c r="R110" s="227"/>
      <c r="S110" s="227"/>
      <c r="T110" s="227"/>
      <c r="U110" s="227"/>
      <c r="V110" s="227"/>
      <c r="W110" s="227"/>
      <c r="X110" s="227"/>
      <c r="Y110" s="227"/>
      <c r="Z110" s="227"/>
    </row>
    <row r="111" spans="1:26" ht="16.8">
      <c r="A111" s="227"/>
      <c r="B111" s="227"/>
      <c r="C111" s="227"/>
      <c r="D111" s="227"/>
      <c r="E111" s="227"/>
      <c r="F111" s="227"/>
      <c r="G111" s="227"/>
      <c r="H111" s="227"/>
      <c r="I111" s="227"/>
      <c r="J111" s="227"/>
      <c r="K111" s="227"/>
      <c r="L111" s="227"/>
      <c r="M111" s="227"/>
      <c r="N111" s="227"/>
      <c r="O111" s="227"/>
      <c r="P111" s="227"/>
      <c r="Q111" s="227"/>
      <c r="R111" s="227"/>
      <c r="S111" s="227"/>
      <c r="T111" s="227"/>
      <c r="U111" s="227"/>
      <c r="V111" s="227"/>
      <c r="W111" s="227"/>
      <c r="X111" s="227"/>
      <c r="Y111" s="227"/>
      <c r="Z111" s="227"/>
    </row>
    <row r="112" spans="1:26" ht="16.8">
      <c r="A112" s="230"/>
      <c r="B112" s="227"/>
      <c r="C112" s="227"/>
      <c r="D112" s="227"/>
      <c r="E112" s="227"/>
      <c r="F112" s="227"/>
      <c r="G112" s="227"/>
      <c r="H112" s="227"/>
      <c r="I112" s="227"/>
      <c r="J112" s="227"/>
      <c r="K112" s="227"/>
      <c r="L112" s="227"/>
      <c r="M112" s="227"/>
      <c r="N112" s="227"/>
      <c r="O112" s="227"/>
      <c r="P112" s="227"/>
      <c r="Q112" s="227"/>
      <c r="R112" s="227"/>
      <c r="S112" s="227"/>
      <c r="T112" s="227"/>
      <c r="U112" s="227"/>
      <c r="V112" s="227"/>
      <c r="W112" s="227"/>
      <c r="X112" s="227"/>
      <c r="Y112" s="227"/>
      <c r="Z112" s="227"/>
    </row>
    <row r="113" spans="1:26" ht="16.8">
      <c r="A113" s="227"/>
      <c r="B113" s="227"/>
      <c r="C113" s="227"/>
      <c r="D113" s="227"/>
      <c r="E113" s="227"/>
      <c r="F113" s="227"/>
      <c r="G113" s="227"/>
      <c r="H113" s="227"/>
      <c r="I113" s="227"/>
      <c r="J113" s="227"/>
      <c r="K113" s="227"/>
      <c r="L113" s="227"/>
      <c r="M113" s="227"/>
      <c r="N113" s="227"/>
      <c r="O113" s="227"/>
      <c r="P113" s="227"/>
      <c r="Q113" s="227"/>
      <c r="R113" s="227"/>
      <c r="S113" s="227"/>
      <c r="T113" s="227"/>
      <c r="U113" s="227"/>
      <c r="V113" s="227"/>
      <c r="W113" s="227"/>
      <c r="X113" s="227"/>
      <c r="Y113" s="227"/>
      <c r="Z113" s="227"/>
    </row>
    <row r="114" spans="1:26" ht="16.8">
      <c r="A114" s="230"/>
      <c r="B114" s="227"/>
      <c r="C114" s="22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row>
    <row r="115" spans="1:26" ht="16.8">
      <c r="A115" s="227"/>
      <c r="B115" s="227"/>
      <c r="C115" s="22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row>
    <row r="116" spans="1:26" ht="16.8">
      <c r="A116" s="227"/>
      <c r="B116" s="227"/>
      <c r="C116" s="227"/>
      <c r="D116" s="227"/>
      <c r="E116" s="227"/>
      <c r="F116" s="227"/>
      <c r="G116" s="227"/>
      <c r="H116" s="227"/>
      <c r="I116" s="227"/>
      <c r="J116" s="227"/>
      <c r="K116" s="227"/>
      <c r="L116" s="227"/>
      <c r="M116" s="227"/>
      <c r="N116" s="227"/>
      <c r="O116" s="227"/>
      <c r="P116" s="227"/>
      <c r="Q116" s="227"/>
      <c r="R116" s="227"/>
      <c r="S116" s="227"/>
      <c r="T116" s="227"/>
      <c r="U116" s="227"/>
      <c r="V116" s="227"/>
      <c r="W116" s="227"/>
      <c r="X116" s="227"/>
      <c r="Y116" s="227"/>
      <c r="Z116" s="227"/>
    </row>
    <row r="117" spans="1:26" ht="16.8">
      <c r="A117" s="227"/>
      <c r="B117" s="227"/>
      <c r="C117" s="227"/>
      <c r="D117" s="227"/>
      <c r="E117" s="227"/>
      <c r="F117" s="227"/>
      <c r="G117" s="227"/>
      <c r="H117" s="227"/>
      <c r="I117" s="227"/>
      <c r="J117" s="227"/>
      <c r="K117" s="227"/>
      <c r="L117" s="227"/>
      <c r="M117" s="227"/>
      <c r="N117" s="227"/>
      <c r="O117" s="227"/>
      <c r="P117" s="227"/>
      <c r="Q117" s="227"/>
      <c r="R117" s="227"/>
      <c r="S117" s="227"/>
      <c r="T117" s="227"/>
      <c r="U117" s="227"/>
      <c r="V117" s="227"/>
      <c r="W117" s="227"/>
      <c r="X117" s="227"/>
      <c r="Y117" s="227"/>
      <c r="Z117" s="227"/>
    </row>
    <row r="118" spans="1:26" ht="16.8">
      <c r="A118" s="227"/>
      <c r="B118" s="227"/>
      <c r="C118" s="227"/>
      <c r="D118" s="227"/>
      <c r="E118" s="227"/>
      <c r="F118" s="227"/>
      <c r="G118" s="227"/>
      <c r="H118" s="227"/>
      <c r="I118" s="227"/>
      <c r="J118" s="227"/>
      <c r="K118" s="227"/>
      <c r="L118" s="227"/>
      <c r="M118" s="227"/>
      <c r="N118" s="227"/>
      <c r="O118" s="227"/>
      <c r="P118" s="227"/>
      <c r="Q118" s="227"/>
      <c r="R118" s="227"/>
      <c r="S118" s="227"/>
      <c r="T118" s="227"/>
      <c r="U118" s="227"/>
      <c r="V118" s="227"/>
      <c r="W118" s="227"/>
      <c r="X118" s="227"/>
      <c r="Y118" s="227"/>
      <c r="Z118" s="227"/>
    </row>
    <row r="119" spans="1:26" ht="16.8">
      <c r="A119" s="227"/>
      <c r="B119" s="227"/>
      <c r="C119" s="227"/>
      <c r="D119" s="227"/>
      <c r="E119" s="227"/>
      <c r="F119" s="227"/>
      <c r="G119" s="227"/>
      <c r="H119" s="227"/>
      <c r="I119" s="227"/>
      <c r="J119" s="227"/>
      <c r="K119" s="227"/>
      <c r="L119" s="227"/>
      <c r="M119" s="227"/>
      <c r="N119" s="227"/>
      <c r="O119" s="227"/>
      <c r="P119" s="227"/>
      <c r="Q119" s="227"/>
      <c r="R119" s="227"/>
      <c r="S119" s="227"/>
      <c r="T119" s="227"/>
      <c r="U119" s="227"/>
      <c r="V119" s="227"/>
      <c r="W119" s="227"/>
      <c r="X119" s="227"/>
      <c r="Y119" s="227"/>
      <c r="Z119" s="227"/>
    </row>
    <row r="120" spans="1:26" ht="16.8">
      <c r="A120" s="227"/>
      <c r="B120" s="227"/>
      <c r="C120" s="227"/>
      <c r="D120" s="227"/>
      <c r="E120" s="227"/>
      <c r="F120" s="227"/>
      <c r="G120" s="227"/>
      <c r="H120" s="227"/>
      <c r="I120" s="227"/>
      <c r="J120" s="227"/>
      <c r="K120" s="227"/>
      <c r="L120" s="227"/>
      <c r="M120" s="227"/>
      <c r="N120" s="227"/>
      <c r="O120" s="227"/>
      <c r="P120" s="227"/>
      <c r="Q120" s="227"/>
      <c r="R120" s="227"/>
      <c r="S120" s="227"/>
      <c r="T120" s="227"/>
      <c r="U120" s="227"/>
      <c r="V120" s="227"/>
      <c r="W120" s="227"/>
      <c r="X120" s="227"/>
      <c r="Y120" s="227"/>
      <c r="Z120" s="227"/>
    </row>
    <row r="121" spans="1:26" ht="16.8">
      <c r="A121" s="227"/>
      <c r="B121" s="227"/>
      <c r="C121" s="227"/>
      <c r="D121" s="227"/>
      <c r="E121" s="227"/>
      <c r="F121" s="227"/>
      <c r="G121" s="227"/>
      <c r="H121" s="227"/>
      <c r="I121" s="227"/>
      <c r="J121" s="227"/>
      <c r="K121" s="227"/>
      <c r="L121" s="227"/>
      <c r="M121" s="227"/>
      <c r="N121" s="227"/>
      <c r="O121" s="227"/>
      <c r="P121" s="227"/>
      <c r="Q121" s="227"/>
      <c r="R121" s="227"/>
      <c r="S121" s="227"/>
      <c r="T121" s="227"/>
      <c r="U121" s="227"/>
      <c r="V121" s="227"/>
      <c r="W121" s="227"/>
      <c r="X121" s="227"/>
      <c r="Y121" s="227"/>
      <c r="Z121" s="227"/>
    </row>
    <row r="122" spans="1:26" ht="16.8">
      <c r="A122" s="227"/>
      <c r="B122" s="227"/>
      <c r="C122" s="227"/>
      <c r="D122" s="227"/>
      <c r="E122" s="227"/>
      <c r="F122" s="227"/>
      <c r="G122" s="227"/>
      <c r="H122" s="227"/>
      <c r="I122" s="227"/>
      <c r="J122" s="227"/>
      <c r="K122" s="227"/>
      <c r="L122" s="227"/>
      <c r="M122" s="227"/>
      <c r="N122" s="227"/>
      <c r="O122" s="227"/>
      <c r="P122" s="227"/>
      <c r="Q122" s="227"/>
      <c r="R122" s="227"/>
      <c r="S122" s="227"/>
      <c r="T122" s="227"/>
      <c r="U122" s="227"/>
      <c r="V122" s="227"/>
      <c r="W122" s="227"/>
      <c r="X122" s="227"/>
      <c r="Y122" s="227"/>
      <c r="Z122" s="227"/>
    </row>
    <row r="123" spans="1:26" ht="16.8">
      <c r="A123" s="226"/>
      <c r="B123" s="227"/>
      <c r="C123" s="227"/>
      <c r="D123" s="227"/>
      <c r="E123" s="227"/>
      <c r="F123" s="227"/>
      <c r="G123" s="227"/>
      <c r="H123" s="227"/>
      <c r="I123" s="227"/>
      <c r="J123" s="227"/>
      <c r="K123" s="227"/>
      <c r="L123" s="227"/>
      <c r="M123" s="227"/>
      <c r="N123" s="227"/>
      <c r="O123" s="227"/>
      <c r="P123" s="227"/>
      <c r="Q123" s="227"/>
      <c r="R123" s="227"/>
      <c r="S123" s="227"/>
      <c r="T123" s="227"/>
      <c r="U123" s="227"/>
      <c r="V123" s="227"/>
      <c r="W123" s="227"/>
      <c r="X123" s="227"/>
      <c r="Y123" s="227"/>
      <c r="Z123" s="227"/>
    </row>
    <row r="124" spans="1:26" ht="16.8">
      <c r="A124" s="227"/>
      <c r="B124" s="227"/>
      <c r="C124" s="227"/>
      <c r="D124" s="227"/>
      <c r="E124" s="227"/>
      <c r="F124" s="227"/>
      <c r="G124" s="227"/>
      <c r="H124" s="227"/>
      <c r="I124" s="227"/>
      <c r="J124" s="227"/>
      <c r="K124" s="227"/>
      <c r="L124" s="227"/>
      <c r="M124" s="227"/>
      <c r="N124" s="227"/>
      <c r="O124" s="227"/>
      <c r="P124" s="227"/>
      <c r="Q124" s="227"/>
      <c r="R124" s="227"/>
      <c r="S124" s="227"/>
      <c r="T124" s="227"/>
      <c r="U124" s="227"/>
      <c r="V124" s="227"/>
      <c r="W124" s="227"/>
      <c r="X124" s="227"/>
      <c r="Y124" s="227"/>
      <c r="Z124" s="227"/>
    </row>
    <row r="125" spans="1:26" ht="16.8">
      <c r="A125" s="227"/>
      <c r="B125" s="227"/>
      <c r="C125" s="227"/>
      <c r="D125" s="227"/>
      <c r="E125" s="227"/>
      <c r="F125" s="227"/>
      <c r="G125" s="227"/>
      <c r="H125" s="227"/>
      <c r="I125" s="227"/>
      <c r="J125" s="227"/>
      <c r="K125" s="227"/>
      <c r="L125" s="227"/>
      <c r="M125" s="227"/>
      <c r="N125" s="227"/>
      <c r="O125" s="227"/>
      <c r="P125" s="227"/>
      <c r="Q125" s="227"/>
      <c r="R125" s="227"/>
      <c r="S125" s="227"/>
      <c r="T125" s="227"/>
      <c r="U125" s="227"/>
      <c r="V125" s="227"/>
      <c r="W125" s="227"/>
      <c r="X125" s="227"/>
      <c r="Y125" s="227"/>
      <c r="Z125" s="227"/>
    </row>
    <row r="126" spans="1:26" ht="16.8">
      <c r="A126" s="227"/>
      <c r="B126" s="227"/>
      <c r="C126" s="227"/>
      <c r="D126" s="227"/>
      <c r="E126" s="227"/>
      <c r="F126" s="227"/>
      <c r="G126" s="227"/>
      <c r="H126" s="227"/>
      <c r="I126" s="227"/>
      <c r="J126" s="227"/>
      <c r="K126" s="227"/>
      <c r="L126" s="227"/>
      <c r="M126" s="227"/>
      <c r="N126" s="227"/>
      <c r="O126" s="227"/>
      <c r="P126" s="227"/>
      <c r="Q126" s="227"/>
      <c r="R126" s="227"/>
      <c r="S126" s="227"/>
      <c r="T126" s="227"/>
      <c r="U126" s="227"/>
      <c r="V126" s="227"/>
      <c r="W126" s="227"/>
      <c r="X126" s="227"/>
      <c r="Y126" s="227"/>
      <c r="Z126" s="227"/>
    </row>
    <row r="127" spans="1:26" ht="16.8">
      <c r="A127" s="227"/>
      <c r="B127" s="227"/>
      <c r="C127" s="227"/>
      <c r="D127" s="227"/>
      <c r="E127" s="227"/>
      <c r="F127" s="227"/>
      <c r="G127" s="227"/>
      <c r="H127" s="227"/>
      <c r="I127" s="227"/>
      <c r="J127" s="227"/>
      <c r="K127" s="227"/>
      <c r="L127" s="227"/>
      <c r="M127" s="227"/>
      <c r="N127" s="227"/>
      <c r="O127" s="227"/>
      <c r="P127" s="227"/>
      <c r="Q127" s="227"/>
      <c r="R127" s="227"/>
      <c r="S127" s="227"/>
      <c r="T127" s="227"/>
      <c r="U127" s="227"/>
      <c r="V127" s="227"/>
      <c r="W127" s="227"/>
      <c r="X127" s="227"/>
      <c r="Y127" s="227"/>
      <c r="Z127" s="227"/>
    </row>
    <row r="128" spans="1:26" ht="16.8">
      <c r="A128" s="227"/>
      <c r="B128" s="227"/>
      <c r="C128" s="227"/>
      <c r="D128" s="227"/>
      <c r="E128" s="227"/>
      <c r="F128" s="227"/>
      <c r="G128" s="227"/>
      <c r="H128" s="227"/>
      <c r="I128" s="227"/>
      <c r="J128" s="227"/>
      <c r="K128" s="227"/>
      <c r="L128" s="227"/>
      <c r="M128" s="227"/>
      <c r="N128" s="227"/>
      <c r="O128" s="227"/>
      <c r="P128" s="227"/>
      <c r="Q128" s="227"/>
      <c r="R128" s="227"/>
      <c r="S128" s="227"/>
      <c r="T128" s="227"/>
      <c r="U128" s="227"/>
      <c r="V128" s="227"/>
      <c r="W128" s="227"/>
      <c r="X128" s="227"/>
      <c r="Y128" s="227"/>
      <c r="Z128" s="227"/>
    </row>
    <row r="129" spans="1:26" ht="16.8">
      <c r="A129" s="230"/>
      <c r="B129" s="227"/>
      <c r="C129" s="227"/>
      <c r="D129" s="227"/>
      <c r="E129" s="227"/>
      <c r="F129" s="227"/>
      <c r="G129" s="227"/>
      <c r="H129" s="227"/>
      <c r="I129" s="227"/>
      <c r="J129" s="227"/>
      <c r="K129" s="227"/>
      <c r="L129" s="227"/>
      <c r="M129" s="227"/>
      <c r="N129" s="227"/>
      <c r="O129" s="227"/>
      <c r="P129" s="227"/>
      <c r="Q129" s="227"/>
      <c r="R129" s="227"/>
      <c r="S129" s="227"/>
      <c r="T129" s="227"/>
      <c r="U129" s="227"/>
      <c r="V129" s="227"/>
      <c r="W129" s="227"/>
      <c r="X129" s="227"/>
      <c r="Y129" s="227"/>
      <c r="Z129" s="227"/>
    </row>
    <row r="130" spans="1:26" ht="16.8">
      <c r="A130" s="227"/>
      <c r="B130" s="227"/>
      <c r="C130" s="227"/>
      <c r="D130" s="227"/>
      <c r="E130" s="227"/>
      <c r="F130" s="227"/>
      <c r="G130" s="227"/>
      <c r="H130" s="227"/>
      <c r="I130" s="227"/>
      <c r="J130" s="227"/>
      <c r="K130" s="227"/>
      <c r="L130" s="227"/>
      <c r="M130" s="227"/>
      <c r="N130" s="227"/>
      <c r="O130" s="227"/>
      <c r="P130" s="227"/>
      <c r="Q130" s="227"/>
      <c r="R130" s="227"/>
      <c r="S130" s="227"/>
      <c r="T130" s="227"/>
      <c r="U130" s="227"/>
      <c r="V130" s="227"/>
      <c r="W130" s="227"/>
      <c r="X130" s="227"/>
      <c r="Y130" s="227"/>
      <c r="Z130" s="227"/>
    </row>
    <row r="131" spans="1:26" ht="16.8">
      <c r="A131" s="230"/>
      <c r="B131" s="227"/>
      <c r="C131" s="227"/>
      <c r="D131" s="227"/>
      <c r="E131" s="227"/>
      <c r="F131" s="227"/>
      <c r="G131" s="227"/>
      <c r="H131" s="227"/>
      <c r="I131" s="227"/>
      <c r="J131" s="227"/>
      <c r="K131" s="227"/>
      <c r="L131" s="227"/>
      <c r="M131" s="227"/>
      <c r="N131" s="227"/>
      <c r="O131" s="227"/>
      <c r="P131" s="227"/>
      <c r="Q131" s="227"/>
      <c r="R131" s="227"/>
      <c r="S131" s="227"/>
      <c r="T131" s="227"/>
      <c r="U131" s="227"/>
      <c r="V131" s="227"/>
      <c r="W131" s="227"/>
      <c r="X131" s="227"/>
      <c r="Y131" s="227"/>
      <c r="Z131" s="227"/>
    </row>
    <row r="132" spans="1:26" ht="16.8">
      <c r="A132" s="227"/>
      <c r="B132" s="227"/>
      <c r="C132" s="227"/>
      <c r="D132" s="227"/>
      <c r="E132" s="227"/>
      <c r="F132" s="227"/>
      <c r="G132" s="227"/>
      <c r="H132" s="227"/>
      <c r="I132" s="227"/>
      <c r="J132" s="227"/>
      <c r="K132" s="227"/>
      <c r="L132" s="227"/>
      <c r="M132" s="227"/>
      <c r="N132" s="227"/>
      <c r="O132" s="227"/>
      <c r="P132" s="227"/>
      <c r="Q132" s="227"/>
      <c r="R132" s="227"/>
      <c r="S132" s="227"/>
      <c r="T132" s="227"/>
      <c r="U132" s="227"/>
      <c r="V132" s="227"/>
      <c r="W132" s="227"/>
      <c r="X132" s="227"/>
      <c r="Y132" s="227"/>
      <c r="Z132" s="227"/>
    </row>
    <row r="133" spans="1:26" ht="16.8">
      <c r="A133" s="227"/>
      <c r="B133" s="227"/>
      <c r="C133" s="227"/>
      <c r="D133" s="227"/>
      <c r="E133" s="227"/>
      <c r="F133" s="227"/>
      <c r="G133" s="227"/>
      <c r="H133" s="227"/>
      <c r="I133" s="227"/>
      <c r="J133" s="227"/>
      <c r="K133" s="227"/>
      <c r="L133" s="227"/>
      <c r="M133" s="227"/>
      <c r="N133" s="227"/>
      <c r="O133" s="227"/>
      <c r="P133" s="227"/>
      <c r="Q133" s="227"/>
      <c r="R133" s="227"/>
      <c r="S133" s="227"/>
      <c r="T133" s="227"/>
      <c r="U133" s="227"/>
      <c r="V133" s="227"/>
      <c r="W133" s="227"/>
      <c r="X133" s="227"/>
      <c r="Y133" s="227"/>
      <c r="Z133" s="227"/>
    </row>
    <row r="134" spans="1:26" ht="16.8">
      <c r="A134" s="227"/>
      <c r="B134" s="227"/>
      <c r="C134" s="227"/>
      <c r="D134" s="227"/>
      <c r="E134" s="227"/>
      <c r="F134" s="227"/>
      <c r="G134" s="227"/>
      <c r="H134" s="227"/>
      <c r="I134" s="227"/>
      <c r="J134" s="227"/>
      <c r="K134" s="227"/>
      <c r="L134" s="227"/>
      <c r="M134" s="227"/>
      <c r="N134" s="227"/>
      <c r="O134" s="227"/>
      <c r="P134" s="227"/>
      <c r="Q134" s="227"/>
      <c r="R134" s="227"/>
      <c r="S134" s="227"/>
      <c r="T134" s="227"/>
      <c r="U134" s="227"/>
      <c r="V134" s="227"/>
      <c r="W134" s="227"/>
      <c r="X134" s="227"/>
      <c r="Y134" s="227"/>
      <c r="Z134" s="227"/>
    </row>
    <row r="135" spans="1:26" ht="16.8">
      <c r="A135" s="227"/>
      <c r="B135" s="227"/>
      <c r="C135" s="227"/>
      <c r="D135" s="227"/>
      <c r="E135" s="227"/>
      <c r="F135" s="227"/>
      <c r="G135" s="227"/>
      <c r="H135" s="227"/>
      <c r="I135" s="227"/>
      <c r="J135" s="227"/>
      <c r="K135" s="227"/>
      <c r="L135" s="227"/>
      <c r="M135" s="227"/>
      <c r="N135" s="227"/>
      <c r="O135" s="227"/>
      <c r="P135" s="227"/>
      <c r="Q135" s="227"/>
      <c r="R135" s="227"/>
      <c r="S135" s="227"/>
      <c r="T135" s="227"/>
      <c r="U135" s="227"/>
      <c r="V135" s="227"/>
      <c r="W135" s="227"/>
      <c r="X135" s="227"/>
      <c r="Y135" s="227"/>
      <c r="Z135" s="227"/>
    </row>
    <row r="136" spans="1:26" ht="16.8">
      <c r="A136" s="227"/>
      <c r="B136" s="227"/>
      <c r="C136" s="227"/>
      <c r="D136" s="227"/>
      <c r="E136" s="227"/>
      <c r="F136" s="227"/>
      <c r="G136" s="227"/>
      <c r="H136" s="227"/>
      <c r="I136" s="227"/>
      <c r="J136" s="227"/>
      <c r="K136" s="227"/>
      <c r="L136" s="227"/>
      <c r="M136" s="227"/>
      <c r="N136" s="227"/>
      <c r="O136" s="227"/>
      <c r="P136" s="227"/>
      <c r="Q136" s="227"/>
      <c r="R136" s="227"/>
      <c r="S136" s="227"/>
      <c r="T136" s="227"/>
      <c r="U136" s="227"/>
      <c r="V136" s="227"/>
      <c r="W136" s="227"/>
      <c r="X136" s="227"/>
      <c r="Y136" s="227"/>
      <c r="Z136" s="227"/>
    </row>
    <row r="137" spans="1:26" ht="16.8">
      <c r="A137" s="227"/>
      <c r="B137" s="227"/>
      <c r="C137" s="227"/>
      <c r="D137" s="227"/>
      <c r="E137" s="227"/>
      <c r="F137" s="227"/>
      <c r="G137" s="227"/>
      <c r="H137" s="227"/>
      <c r="I137" s="227"/>
      <c r="J137" s="227"/>
      <c r="K137" s="227"/>
      <c r="L137" s="227"/>
      <c r="M137" s="227"/>
      <c r="N137" s="227"/>
      <c r="O137" s="227"/>
      <c r="P137" s="227"/>
      <c r="Q137" s="227"/>
      <c r="R137" s="227"/>
      <c r="S137" s="227"/>
      <c r="T137" s="227"/>
      <c r="U137" s="227"/>
      <c r="V137" s="227"/>
      <c r="W137" s="227"/>
      <c r="X137" s="227"/>
      <c r="Y137" s="227"/>
      <c r="Z137" s="227"/>
    </row>
    <row r="138" spans="1:26" ht="16.8">
      <c r="A138" s="227"/>
      <c r="B138" s="227"/>
      <c r="C138" s="227"/>
      <c r="D138" s="227"/>
      <c r="E138" s="227"/>
      <c r="F138" s="227"/>
      <c r="G138" s="227"/>
      <c r="H138" s="227"/>
      <c r="I138" s="227"/>
      <c r="J138" s="227"/>
      <c r="K138" s="227"/>
      <c r="L138" s="227"/>
      <c r="M138" s="227"/>
      <c r="N138" s="227"/>
      <c r="O138" s="227"/>
      <c r="P138" s="227"/>
      <c r="Q138" s="227"/>
      <c r="R138" s="227"/>
      <c r="S138" s="227"/>
      <c r="T138" s="227"/>
      <c r="U138" s="227"/>
      <c r="V138" s="227"/>
      <c r="W138" s="227"/>
      <c r="X138" s="227"/>
      <c r="Y138" s="227"/>
      <c r="Z138" s="227"/>
    </row>
    <row r="139" spans="1:26" ht="16.8">
      <c r="A139" s="227"/>
      <c r="B139" s="227"/>
      <c r="C139" s="227"/>
      <c r="D139" s="227"/>
      <c r="E139" s="227"/>
      <c r="F139" s="227"/>
      <c r="G139" s="227"/>
      <c r="H139" s="227"/>
      <c r="I139" s="227"/>
      <c r="J139" s="227"/>
      <c r="K139" s="227"/>
      <c r="L139" s="227"/>
      <c r="M139" s="227"/>
      <c r="N139" s="227"/>
      <c r="O139" s="227"/>
      <c r="P139" s="227"/>
      <c r="Q139" s="227"/>
      <c r="R139" s="227"/>
      <c r="S139" s="227"/>
      <c r="T139" s="227"/>
      <c r="U139" s="227"/>
      <c r="V139" s="227"/>
      <c r="W139" s="227"/>
      <c r="X139" s="227"/>
      <c r="Y139" s="227"/>
      <c r="Z139" s="227"/>
    </row>
    <row r="140" spans="1:26" ht="16.8">
      <c r="A140" s="226"/>
      <c r="B140" s="227"/>
      <c r="C140" s="227"/>
      <c r="D140" s="227"/>
      <c r="E140" s="227"/>
      <c r="F140" s="227"/>
      <c r="G140" s="227"/>
      <c r="H140" s="227"/>
      <c r="I140" s="227"/>
      <c r="J140" s="227"/>
      <c r="K140" s="227"/>
      <c r="L140" s="227"/>
      <c r="M140" s="227"/>
      <c r="N140" s="227"/>
      <c r="O140" s="227"/>
      <c r="P140" s="227"/>
      <c r="Q140" s="227"/>
      <c r="R140" s="227"/>
      <c r="S140" s="227"/>
      <c r="T140" s="227"/>
      <c r="U140" s="227"/>
      <c r="V140" s="227"/>
      <c r="W140" s="227"/>
      <c r="X140" s="227"/>
      <c r="Y140" s="227"/>
      <c r="Z140" s="227"/>
    </row>
    <row r="141" spans="1:26" ht="16.8">
      <c r="A141" s="226"/>
      <c r="B141" s="227"/>
      <c r="C141" s="227"/>
      <c r="D141" s="227"/>
      <c r="E141" s="227"/>
      <c r="F141" s="227"/>
      <c r="G141" s="227"/>
      <c r="H141" s="227"/>
      <c r="I141" s="227"/>
      <c r="J141" s="227"/>
      <c r="K141" s="227"/>
      <c r="L141" s="227"/>
      <c r="M141" s="227"/>
      <c r="N141" s="227"/>
      <c r="O141" s="227"/>
      <c r="P141" s="227"/>
      <c r="Q141" s="227"/>
      <c r="R141" s="227"/>
      <c r="S141" s="227"/>
      <c r="T141" s="227"/>
      <c r="U141" s="227"/>
      <c r="V141" s="227"/>
      <c r="W141" s="227"/>
      <c r="X141" s="227"/>
      <c r="Y141" s="227"/>
      <c r="Z141" s="227"/>
    </row>
    <row r="142" spans="1:26" ht="16.8">
      <c r="A142" s="227"/>
      <c r="B142" s="227"/>
      <c r="C142" s="227"/>
      <c r="D142" s="227"/>
      <c r="E142" s="227"/>
      <c r="F142" s="227"/>
      <c r="G142" s="227"/>
      <c r="H142" s="227"/>
      <c r="I142" s="227"/>
      <c r="J142" s="227"/>
      <c r="K142" s="227"/>
      <c r="L142" s="227"/>
      <c r="M142" s="227"/>
      <c r="N142" s="227"/>
      <c r="O142" s="227"/>
      <c r="P142" s="227"/>
      <c r="Q142" s="227"/>
      <c r="R142" s="227"/>
      <c r="S142" s="227"/>
      <c r="T142" s="227"/>
      <c r="U142" s="227"/>
      <c r="V142" s="227"/>
      <c r="W142" s="227"/>
      <c r="X142" s="227"/>
      <c r="Y142" s="227"/>
      <c r="Z142" s="227"/>
    </row>
    <row r="143" spans="1:26" ht="16.8">
      <c r="A143" s="227"/>
      <c r="B143" s="227"/>
      <c r="C143" s="227"/>
      <c r="D143" s="227"/>
      <c r="E143" s="227"/>
      <c r="F143" s="227"/>
      <c r="G143" s="227"/>
      <c r="H143" s="227"/>
      <c r="I143" s="227"/>
      <c r="J143" s="227"/>
      <c r="K143" s="227"/>
      <c r="L143" s="227"/>
      <c r="M143" s="227"/>
      <c r="N143" s="227"/>
      <c r="O143" s="227"/>
      <c r="P143" s="227"/>
      <c r="Q143" s="227"/>
      <c r="R143" s="227"/>
      <c r="S143" s="227"/>
      <c r="T143" s="227"/>
      <c r="U143" s="227"/>
      <c r="V143" s="227"/>
      <c r="W143" s="227"/>
      <c r="X143" s="227"/>
      <c r="Y143" s="227"/>
      <c r="Z143" s="227"/>
    </row>
    <row r="144" spans="1:26" ht="16.8">
      <c r="A144" s="227"/>
      <c r="B144" s="227"/>
      <c r="C144" s="227"/>
      <c r="D144" s="227"/>
      <c r="E144" s="227"/>
      <c r="F144" s="227"/>
      <c r="G144" s="227"/>
      <c r="H144" s="227"/>
      <c r="I144" s="227"/>
      <c r="J144" s="227"/>
      <c r="K144" s="227"/>
      <c r="L144" s="227"/>
      <c r="M144" s="227"/>
      <c r="N144" s="227"/>
      <c r="O144" s="227"/>
      <c r="P144" s="227"/>
      <c r="Q144" s="227"/>
      <c r="R144" s="227"/>
      <c r="S144" s="227"/>
      <c r="T144" s="227"/>
      <c r="U144" s="227"/>
      <c r="V144" s="227"/>
      <c r="W144" s="227"/>
      <c r="X144" s="227"/>
      <c r="Y144" s="227"/>
      <c r="Z144" s="227"/>
    </row>
    <row r="145" spans="1:26" ht="16.8">
      <c r="A145" s="227"/>
      <c r="B145" s="227"/>
      <c r="C145" s="227"/>
      <c r="D145" s="227"/>
      <c r="E145" s="227"/>
      <c r="F145" s="227"/>
      <c r="G145" s="227"/>
      <c r="H145" s="227"/>
      <c r="I145" s="227"/>
      <c r="J145" s="227"/>
      <c r="K145" s="227"/>
      <c r="L145" s="227"/>
      <c r="M145" s="227"/>
      <c r="N145" s="227"/>
      <c r="O145" s="227"/>
      <c r="P145" s="227"/>
      <c r="Q145" s="227"/>
      <c r="R145" s="227"/>
      <c r="S145" s="227"/>
      <c r="T145" s="227"/>
      <c r="U145" s="227"/>
      <c r="V145" s="227"/>
      <c r="W145" s="227"/>
      <c r="X145" s="227"/>
      <c r="Y145" s="227"/>
      <c r="Z145" s="227"/>
    </row>
    <row r="146" spans="1:26" ht="16.8">
      <c r="A146" s="227"/>
      <c r="B146" s="227"/>
      <c r="C146" s="227"/>
      <c r="D146" s="227"/>
      <c r="E146" s="227"/>
      <c r="F146" s="227"/>
      <c r="G146" s="227"/>
      <c r="H146" s="227"/>
      <c r="I146" s="227"/>
      <c r="J146" s="227"/>
      <c r="K146" s="227"/>
      <c r="L146" s="227"/>
      <c r="M146" s="227"/>
      <c r="N146" s="227"/>
      <c r="O146" s="227"/>
      <c r="P146" s="227"/>
      <c r="Q146" s="227"/>
      <c r="R146" s="227"/>
      <c r="S146" s="227"/>
      <c r="T146" s="227"/>
      <c r="U146" s="227"/>
      <c r="V146" s="227"/>
      <c r="W146" s="227"/>
      <c r="X146" s="227"/>
      <c r="Y146" s="227"/>
      <c r="Z146" s="227"/>
    </row>
    <row r="147" spans="1:26" ht="16.8">
      <c r="A147" s="230"/>
      <c r="B147" s="227"/>
      <c r="C147" s="227"/>
      <c r="D147" s="227"/>
      <c r="E147" s="227"/>
      <c r="F147" s="227"/>
      <c r="G147" s="227"/>
      <c r="H147" s="227"/>
      <c r="I147" s="227"/>
      <c r="J147" s="227"/>
      <c r="K147" s="227"/>
      <c r="L147" s="227"/>
      <c r="M147" s="227"/>
      <c r="N147" s="227"/>
      <c r="O147" s="227"/>
      <c r="P147" s="227"/>
      <c r="Q147" s="227"/>
      <c r="R147" s="227"/>
      <c r="S147" s="227"/>
      <c r="T147" s="227"/>
      <c r="U147" s="227"/>
      <c r="V147" s="227"/>
      <c r="W147" s="227"/>
      <c r="X147" s="227"/>
      <c r="Y147" s="227"/>
      <c r="Z147" s="227"/>
    </row>
    <row r="148" spans="1:26" ht="16.8">
      <c r="A148" s="227"/>
      <c r="B148" s="227"/>
      <c r="C148" s="227"/>
      <c r="D148" s="227"/>
      <c r="E148" s="227"/>
      <c r="F148" s="227"/>
      <c r="G148" s="227"/>
      <c r="H148" s="227"/>
      <c r="I148" s="227"/>
      <c r="J148" s="227"/>
      <c r="K148" s="227"/>
      <c r="L148" s="227"/>
      <c r="M148" s="227"/>
      <c r="N148" s="227"/>
      <c r="O148" s="227"/>
      <c r="P148" s="227"/>
      <c r="Q148" s="227"/>
      <c r="R148" s="227"/>
      <c r="S148" s="227"/>
      <c r="T148" s="227"/>
      <c r="U148" s="227"/>
      <c r="V148" s="227"/>
      <c r="W148" s="227"/>
      <c r="X148" s="227"/>
      <c r="Y148" s="227"/>
      <c r="Z148" s="227"/>
    </row>
    <row r="149" spans="1:26" ht="16.8">
      <c r="A149" s="230"/>
      <c r="B149" s="227"/>
      <c r="C149" s="227"/>
      <c r="D149" s="227"/>
      <c r="E149" s="227"/>
      <c r="F149" s="227"/>
      <c r="G149" s="227"/>
      <c r="H149" s="227"/>
      <c r="I149" s="227"/>
      <c r="J149" s="227"/>
      <c r="K149" s="227"/>
      <c r="L149" s="227"/>
      <c r="M149" s="227"/>
      <c r="N149" s="227"/>
      <c r="O149" s="227"/>
      <c r="P149" s="227"/>
      <c r="Q149" s="227"/>
      <c r="R149" s="227"/>
      <c r="S149" s="227"/>
      <c r="T149" s="227"/>
      <c r="U149" s="227"/>
      <c r="V149" s="227"/>
      <c r="W149" s="227"/>
      <c r="X149" s="227"/>
      <c r="Y149" s="227"/>
      <c r="Z149" s="227"/>
    </row>
    <row r="150" spans="1:26" ht="16.8">
      <c r="A150" s="227"/>
      <c r="B150" s="227"/>
      <c r="C150" s="227"/>
      <c r="D150" s="227"/>
      <c r="E150" s="227"/>
      <c r="F150" s="227"/>
      <c r="G150" s="227"/>
      <c r="H150" s="227"/>
      <c r="I150" s="227"/>
      <c r="J150" s="227"/>
      <c r="K150" s="227"/>
      <c r="L150" s="227"/>
      <c r="M150" s="227"/>
      <c r="N150" s="227"/>
      <c r="O150" s="227"/>
      <c r="P150" s="227"/>
      <c r="Q150" s="227"/>
      <c r="R150" s="227"/>
      <c r="S150" s="227"/>
      <c r="T150" s="227"/>
      <c r="U150" s="227"/>
      <c r="V150" s="227"/>
      <c r="W150" s="227"/>
      <c r="X150" s="227"/>
      <c r="Y150" s="227"/>
      <c r="Z150" s="227"/>
    </row>
    <row r="151" spans="1:26" ht="16.8">
      <c r="A151" s="227"/>
      <c r="B151" s="227"/>
      <c r="C151" s="227"/>
      <c r="D151" s="227"/>
      <c r="E151" s="227"/>
      <c r="F151" s="227"/>
      <c r="G151" s="227"/>
      <c r="H151" s="227"/>
      <c r="I151" s="227"/>
      <c r="J151" s="227"/>
      <c r="K151" s="227"/>
      <c r="L151" s="227"/>
      <c r="M151" s="227"/>
      <c r="N151" s="227"/>
      <c r="O151" s="227"/>
      <c r="P151" s="227"/>
      <c r="Q151" s="227"/>
      <c r="R151" s="227"/>
      <c r="S151" s="227"/>
      <c r="T151" s="227"/>
      <c r="U151" s="227"/>
      <c r="V151" s="227"/>
      <c r="W151" s="227"/>
      <c r="X151" s="227"/>
      <c r="Y151" s="227"/>
      <c r="Z151" s="227"/>
    </row>
    <row r="152" spans="1:26" ht="16.8">
      <c r="A152" s="227"/>
      <c r="B152" s="227"/>
      <c r="C152" s="227"/>
      <c r="D152" s="227"/>
      <c r="E152" s="227"/>
      <c r="F152" s="227"/>
      <c r="G152" s="227"/>
      <c r="H152" s="227"/>
      <c r="I152" s="227"/>
      <c r="J152" s="227"/>
      <c r="K152" s="227"/>
      <c r="L152" s="227"/>
      <c r="M152" s="227"/>
      <c r="N152" s="227"/>
      <c r="O152" s="227"/>
      <c r="P152" s="227"/>
      <c r="Q152" s="227"/>
      <c r="R152" s="227"/>
      <c r="S152" s="227"/>
      <c r="T152" s="227"/>
      <c r="U152" s="227"/>
      <c r="V152" s="227"/>
      <c r="W152" s="227"/>
      <c r="X152" s="227"/>
      <c r="Y152" s="227"/>
      <c r="Z152" s="227"/>
    </row>
    <row r="153" spans="1:26" ht="16.8">
      <c r="A153" s="227"/>
      <c r="B153" s="227"/>
      <c r="C153" s="227"/>
      <c r="D153" s="227"/>
      <c r="E153" s="227"/>
      <c r="F153" s="227"/>
      <c r="G153" s="227"/>
      <c r="H153" s="227"/>
      <c r="I153" s="227"/>
      <c r="J153" s="227"/>
      <c r="K153" s="227"/>
      <c r="L153" s="227"/>
      <c r="M153" s="227"/>
      <c r="N153" s="227"/>
      <c r="O153" s="227"/>
      <c r="P153" s="227"/>
      <c r="Q153" s="227"/>
      <c r="R153" s="227"/>
      <c r="S153" s="227"/>
      <c r="T153" s="227"/>
      <c r="U153" s="227"/>
      <c r="V153" s="227"/>
      <c r="W153" s="227"/>
      <c r="X153" s="227"/>
      <c r="Y153" s="227"/>
      <c r="Z153" s="227"/>
    </row>
    <row r="154" spans="1:26" ht="16.8">
      <c r="A154" s="227"/>
      <c r="B154" s="227"/>
      <c r="C154" s="227"/>
      <c r="D154" s="227"/>
      <c r="E154" s="227"/>
      <c r="F154" s="227"/>
      <c r="G154" s="227"/>
      <c r="H154" s="227"/>
      <c r="I154" s="227"/>
      <c r="J154" s="227"/>
      <c r="K154" s="227"/>
      <c r="L154" s="227"/>
      <c r="M154" s="227"/>
      <c r="N154" s="227"/>
      <c r="O154" s="227"/>
      <c r="P154" s="227"/>
      <c r="Q154" s="227"/>
      <c r="R154" s="227"/>
      <c r="S154" s="227"/>
      <c r="T154" s="227"/>
      <c r="U154" s="227"/>
      <c r="V154" s="227"/>
      <c r="W154" s="227"/>
      <c r="X154" s="227"/>
      <c r="Y154" s="227"/>
      <c r="Z154" s="227"/>
    </row>
    <row r="155" spans="1:26" ht="16.8">
      <c r="A155" s="227"/>
      <c r="B155" s="227"/>
      <c r="C155" s="227"/>
      <c r="D155" s="227"/>
      <c r="E155" s="227"/>
      <c r="F155" s="227"/>
      <c r="G155" s="227"/>
      <c r="H155" s="227"/>
      <c r="I155" s="227"/>
      <c r="J155" s="227"/>
      <c r="K155" s="227"/>
      <c r="L155" s="227"/>
      <c r="M155" s="227"/>
      <c r="N155" s="227"/>
      <c r="O155" s="227"/>
      <c r="P155" s="227"/>
      <c r="Q155" s="227"/>
      <c r="R155" s="227"/>
      <c r="S155" s="227"/>
      <c r="T155" s="227"/>
      <c r="U155" s="227"/>
      <c r="V155" s="227"/>
      <c r="W155" s="227"/>
      <c r="X155" s="227"/>
      <c r="Y155" s="227"/>
      <c r="Z155" s="227"/>
    </row>
    <row r="156" spans="1:26" ht="16.8">
      <c r="A156" s="227"/>
      <c r="B156" s="227"/>
      <c r="C156" s="227"/>
      <c r="D156" s="227"/>
      <c r="E156" s="227"/>
      <c r="F156" s="227"/>
      <c r="G156" s="227"/>
      <c r="H156" s="227"/>
      <c r="I156" s="227"/>
      <c r="J156" s="227"/>
      <c r="K156" s="227"/>
      <c r="L156" s="227"/>
      <c r="M156" s="227"/>
      <c r="N156" s="227"/>
      <c r="O156" s="227"/>
      <c r="P156" s="227"/>
      <c r="Q156" s="227"/>
      <c r="R156" s="227"/>
      <c r="S156" s="227"/>
      <c r="T156" s="227"/>
      <c r="U156" s="227"/>
      <c r="V156" s="227"/>
      <c r="W156" s="227"/>
      <c r="X156" s="227"/>
      <c r="Y156" s="227"/>
      <c r="Z156" s="227"/>
    </row>
    <row r="157" spans="1:26" ht="16.8">
      <c r="A157" s="227"/>
      <c r="B157" s="227"/>
      <c r="C157" s="227"/>
      <c r="D157" s="227"/>
      <c r="E157" s="227"/>
      <c r="F157" s="227"/>
      <c r="G157" s="227"/>
      <c r="H157" s="227"/>
      <c r="I157" s="227"/>
      <c r="J157" s="227"/>
      <c r="K157" s="227"/>
      <c r="L157" s="227"/>
      <c r="M157" s="227"/>
      <c r="N157" s="227"/>
      <c r="O157" s="227"/>
      <c r="P157" s="227"/>
      <c r="Q157" s="227"/>
      <c r="R157" s="227"/>
      <c r="S157" s="227"/>
      <c r="T157" s="227"/>
      <c r="U157" s="227"/>
      <c r="V157" s="227"/>
      <c r="W157" s="227"/>
      <c r="X157" s="227"/>
      <c r="Y157" s="227"/>
      <c r="Z157" s="227"/>
    </row>
    <row r="158" spans="1:26" ht="16.8">
      <c r="A158" s="226"/>
      <c r="B158" s="227"/>
      <c r="C158" s="227"/>
      <c r="D158" s="227"/>
      <c r="E158" s="227"/>
      <c r="F158" s="227"/>
      <c r="G158" s="227"/>
      <c r="H158" s="227"/>
      <c r="I158" s="227"/>
      <c r="J158" s="227"/>
      <c r="K158" s="227"/>
      <c r="L158" s="227"/>
      <c r="M158" s="227"/>
      <c r="N158" s="227"/>
      <c r="O158" s="227"/>
      <c r="P158" s="227"/>
      <c r="Q158" s="227"/>
      <c r="R158" s="227"/>
      <c r="S158" s="227"/>
      <c r="T158" s="227"/>
      <c r="U158" s="227"/>
      <c r="V158" s="227"/>
      <c r="W158" s="227"/>
      <c r="X158" s="227"/>
      <c r="Y158" s="227"/>
      <c r="Z158" s="227"/>
    </row>
    <row r="159" spans="1:26" ht="16.8">
      <c r="A159" s="227"/>
      <c r="B159" s="227"/>
      <c r="C159" s="227"/>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6.8">
      <c r="A160" s="227"/>
      <c r="B160" s="227"/>
      <c r="C160" s="227"/>
      <c r="D160" s="227"/>
      <c r="E160" s="227"/>
      <c r="F160" s="227"/>
      <c r="G160" s="227"/>
      <c r="H160" s="227"/>
      <c r="I160" s="227"/>
      <c r="J160" s="227"/>
      <c r="K160" s="227"/>
      <c r="L160" s="227"/>
      <c r="M160" s="227"/>
      <c r="N160" s="227"/>
      <c r="O160" s="227"/>
      <c r="P160" s="227"/>
      <c r="Q160" s="227"/>
      <c r="R160" s="227"/>
      <c r="S160" s="227"/>
      <c r="T160" s="227"/>
      <c r="U160" s="227"/>
      <c r="V160" s="227"/>
      <c r="W160" s="227"/>
      <c r="X160" s="227"/>
      <c r="Y160" s="227"/>
      <c r="Z160" s="227"/>
    </row>
    <row r="161" spans="1:26" ht="16.8">
      <c r="A161" s="227"/>
      <c r="B161" s="227"/>
      <c r="C161" s="227"/>
      <c r="D161" s="227"/>
      <c r="E161" s="227"/>
      <c r="F161" s="227"/>
      <c r="G161" s="227"/>
      <c r="H161" s="227"/>
      <c r="I161" s="227"/>
      <c r="J161" s="227"/>
      <c r="K161" s="227"/>
      <c r="L161" s="227"/>
      <c r="M161" s="227"/>
      <c r="N161" s="227"/>
      <c r="O161" s="227"/>
      <c r="P161" s="227"/>
      <c r="Q161" s="227"/>
      <c r="R161" s="227"/>
      <c r="S161" s="227"/>
      <c r="T161" s="227"/>
      <c r="U161" s="227"/>
      <c r="V161" s="227"/>
      <c r="W161" s="227"/>
      <c r="X161" s="227"/>
      <c r="Y161" s="227"/>
      <c r="Z161" s="227"/>
    </row>
    <row r="162" spans="1:26" ht="16.8">
      <c r="A162" s="227"/>
      <c r="B162" s="227"/>
      <c r="C162" s="227"/>
      <c r="D162" s="227"/>
      <c r="E162" s="227"/>
      <c r="F162" s="227"/>
      <c r="G162" s="227"/>
      <c r="H162" s="227"/>
      <c r="I162" s="227"/>
      <c r="J162" s="227"/>
      <c r="K162" s="227"/>
      <c r="L162" s="227"/>
      <c r="M162" s="227"/>
      <c r="N162" s="227"/>
      <c r="O162" s="227"/>
      <c r="P162" s="227"/>
      <c r="Q162" s="227"/>
      <c r="R162" s="227"/>
      <c r="S162" s="227"/>
      <c r="T162" s="227"/>
      <c r="U162" s="227"/>
      <c r="V162" s="227"/>
      <c r="W162" s="227"/>
      <c r="X162" s="227"/>
      <c r="Y162" s="227"/>
      <c r="Z162" s="227"/>
    </row>
    <row r="163" spans="1:26" ht="16.8">
      <c r="A163" s="227"/>
      <c r="B163" s="227"/>
      <c r="C163" s="227"/>
      <c r="D163" s="227"/>
      <c r="E163" s="227"/>
      <c r="F163" s="227"/>
      <c r="G163" s="227"/>
      <c r="H163" s="227"/>
      <c r="I163" s="227"/>
      <c r="J163" s="227"/>
      <c r="K163" s="227"/>
      <c r="L163" s="227"/>
      <c r="M163" s="227"/>
      <c r="N163" s="227"/>
      <c r="O163" s="227"/>
      <c r="P163" s="227"/>
      <c r="Q163" s="227"/>
      <c r="R163" s="227"/>
      <c r="S163" s="227"/>
      <c r="T163" s="227"/>
      <c r="U163" s="227"/>
      <c r="V163" s="227"/>
      <c r="W163" s="227"/>
      <c r="X163" s="227"/>
      <c r="Y163" s="227"/>
      <c r="Z163" s="227"/>
    </row>
    <row r="164" spans="1:26" ht="16.8">
      <c r="A164" s="230"/>
      <c r="B164" s="227"/>
      <c r="C164" s="227"/>
      <c r="D164" s="227"/>
      <c r="E164" s="227"/>
      <c r="F164" s="227"/>
      <c r="G164" s="227"/>
      <c r="H164" s="227"/>
      <c r="I164" s="227"/>
      <c r="J164" s="227"/>
      <c r="K164" s="227"/>
      <c r="L164" s="227"/>
      <c r="M164" s="227"/>
      <c r="N164" s="227"/>
      <c r="O164" s="227"/>
      <c r="P164" s="227"/>
      <c r="Q164" s="227"/>
      <c r="R164" s="227"/>
      <c r="S164" s="227"/>
      <c r="T164" s="227"/>
      <c r="U164" s="227"/>
      <c r="V164" s="227"/>
      <c r="W164" s="227"/>
      <c r="X164" s="227"/>
      <c r="Y164" s="227"/>
      <c r="Z164" s="227"/>
    </row>
    <row r="165" spans="1:26" ht="16.8">
      <c r="A165" s="227"/>
      <c r="B165" s="227"/>
      <c r="C165" s="227"/>
      <c r="D165" s="227"/>
      <c r="E165" s="227"/>
      <c r="F165" s="227"/>
      <c r="G165" s="227"/>
      <c r="H165" s="227"/>
      <c r="I165" s="227"/>
      <c r="J165" s="227"/>
      <c r="K165" s="227"/>
      <c r="L165" s="227"/>
      <c r="M165" s="227"/>
      <c r="N165" s="227"/>
      <c r="O165" s="227"/>
      <c r="P165" s="227"/>
      <c r="Q165" s="227"/>
      <c r="R165" s="227"/>
      <c r="S165" s="227"/>
      <c r="T165" s="227"/>
      <c r="U165" s="227"/>
      <c r="V165" s="227"/>
      <c r="W165" s="227"/>
      <c r="X165" s="227"/>
      <c r="Y165" s="227"/>
      <c r="Z165" s="227"/>
    </row>
    <row r="166" spans="1:26" ht="16.8">
      <c r="A166" s="230"/>
      <c r="B166" s="227"/>
      <c r="C166" s="227"/>
      <c r="D166" s="227"/>
      <c r="E166" s="227"/>
      <c r="F166" s="227"/>
      <c r="G166" s="227"/>
      <c r="H166" s="227"/>
      <c r="I166" s="227"/>
      <c r="J166" s="227"/>
      <c r="K166" s="227"/>
      <c r="L166" s="227"/>
      <c r="M166" s="227"/>
      <c r="N166" s="227"/>
      <c r="O166" s="227"/>
      <c r="P166" s="227"/>
      <c r="Q166" s="227"/>
      <c r="R166" s="227"/>
      <c r="S166" s="227"/>
      <c r="T166" s="227"/>
      <c r="U166" s="227"/>
      <c r="V166" s="227"/>
      <c r="W166" s="227"/>
      <c r="X166" s="227"/>
      <c r="Y166" s="227"/>
      <c r="Z166" s="227"/>
    </row>
    <row r="167" spans="1:26" ht="16.8">
      <c r="A167" s="227"/>
      <c r="B167" s="227"/>
      <c r="C167" s="227"/>
      <c r="D167" s="227"/>
      <c r="E167" s="227"/>
      <c r="F167" s="227"/>
      <c r="G167" s="227"/>
      <c r="H167" s="227"/>
      <c r="I167" s="227"/>
      <c r="J167" s="227"/>
      <c r="K167" s="227"/>
      <c r="L167" s="227"/>
      <c r="M167" s="227"/>
      <c r="N167" s="227"/>
      <c r="O167" s="227"/>
      <c r="P167" s="227"/>
      <c r="Q167" s="227"/>
      <c r="R167" s="227"/>
      <c r="S167" s="227"/>
      <c r="T167" s="227"/>
      <c r="U167" s="227"/>
      <c r="V167" s="227"/>
      <c r="W167" s="227"/>
      <c r="X167" s="227"/>
      <c r="Y167" s="227"/>
      <c r="Z167" s="227"/>
    </row>
    <row r="168" spans="1:26" ht="16.8">
      <c r="A168" s="227"/>
      <c r="B168" s="227"/>
      <c r="C168" s="227"/>
      <c r="D168" s="227"/>
      <c r="E168" s="227"/>
      <c r="F168" s="227"/>
      <c r="G168" s="227"/>
      <c r="H168" s="227"/>
      <c r="I168" s="227"/>
      <c r="J168" s="227"/>
      <c r="K168" s="227"/>
      <c r="L168" s="227"/>
      <c r="M168" s="227"/>
      <c r="N168" s="227"/>
      <c r="O168" s="227"/>
      <c r="P168" s="227"/>
      <c r="Q168" s="227"/>
      <c r="R168" s="227"/>
      <c r="S168" s="227"/>
      <c r="T168" s="227"/>
      <c r="U168" s="227"/>
      <c r="V168" s="227"/>
      <c r="W168" s="227"/>
      <c r="X168" s="227"/>
      <c r="Y168" s="227"/>
      <c r="Z168" s="227"/>
    </row>
    <row r="169" spans="1:26" ht="16.8">
      <c r="A169" s="227"/>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row>
    <row r="170" spans="1:26" ht="16.8">
      <c r="A170" s="227"/>
      <c r="B170" s="227"/>
      <c r="C170" s="227"/>
      <c r="D170" s="227"/>
      <c r="E170" s="227"/>
      <c r="F170" s="227"/>
      <c r="G170" s="227"/>
      <c r="H170" s="227"/>
      <c r="I170" s="227"/>
      <c r="J170" s="227"/>
      <c r="K170" s="227"/>
      <c r="L170" s="227"/>
      <c r="M170" s="227"/>
      <c r="N170" s="227"/>
      <c r="O170" s="227"/>
      <c r="P170" s="227"/>
      <c r="Q170" s="227"/>
      <c r="R170" s="227"/>
      <c r="S170" s="227"/>
      <c r="T170" s="227"/>
      <c r="U170" s="227"/>
      <c r="V170" s="227"/>
      <c r="W170" s="227"/>
      <c r="X170" s="227"/>
      <c r="Y170" s="227"/>
      <c r="Z170" s="227"/>
    </row>
    <row r="171" spans="1:26" ht="16.8">
      <c r="A171" s="227"/>
      <c r="B171" s="227"/>
      <c r="C171" s="227"/>
      <c r="D171" s="227"/>
      <c r="E171" s="227"/>
      <c r="F171" s="227"/>
      <c r="G171" s="227"/>
      <c r="H171" s="227"/>
      <c r="I171" s="227"/>
      <c r="J171" s="227"/>
      <c r="K171" s="227"/>
      <c r="L171" s="227"/>
      <c r="M171" s="227"/>
      <c r="N171" s="227"/>
      <c r="O171" s="227"/>
      <c r="P171" s="227"/>
      <c r="Q171" s="227"/>
      <c r="R171" s="227"/>
      <c r="S171" s="227"/>
      <c r="T171" s="227"/>
      <c r="U171" s="227"/>
      <c r="V171" s="227"/>
      <c r="W171" s="227"/>
      <c r="X171" s="227"/>
      <c r="Y171" s="227"/>
      <c r="Z171" s="227"/>
    </row>
    <row r="172" spans="1:26" ht="16.8">
      <c r="A172" s="227"/>
      <c r="B172" s="227"/>
      <c r="C172" s="227"/>
      <c r="D172" s="227"/>
      <c r="E172" s="227"/>
      <c r="F172" s="227"/>
      <c r="G172" s="227"/>
      <c r="H172" s="227"/>
      <c r="I172" s="227"/>
      <c r="J172" s="227"/>
      <c r="K172" s="227"/>
      <c r="L172" s="227"/>
      <c r="M172" s="227"/>
      <c r="N172" s="227"/>
      <c r="O172" s="227"/>
      <c r="P172" s="227"/>
      <c r="Q172" s="227"/>
      <c r="R172" s="227"/>
      <c r="S172" s="227"/>
      <c r="T172" s="227"/>
      <c r="U172" s="227"/>
      <c r="V172" s="227"/>
      <c r="W172" s="227"/>
      <c r="X172" s="227"/>
      <c r="Y172" s="227"/>
      <c r="Z172" s="227"/>
    </row>
    <row r="173" spans="1:26" ht="16.8">
      <c r="A173" s="227"/>
      <c r="B173" s="227"/>
      <c r="C173" s="227"/>
      <c r="D173" s="227"/>
      <c r="E173" s="227"/>
      <c r="F173" s="227"/>
      <c r="G173" s="227"/>
      <c r="H173" s="227"/>
      <c r="I173" s="227"/>
      <c r="J173" s="227"/>
      <c r="K173" s="227"/>
      <c r="L173" s="227"/>
      <c r="M173" s="227"/>
      <c r="N173" s="227"/>
      <c r="O173" s="227"/>
      <c r="P173" s="227"/>
      <c r="Q173" s="227"/>
      <c r="R173" s="227"/>
      <c r="S173" s="227"/>
      <c r="T173" s="227"/>
      <c r="U173" s="227"/>
      <c r="V173" s="227"/>
      <c r="W173" s="227"/>
      <c r="X173" s="227"/>
      <c r="Y173" s="227"/>
      <c r="Z173" s="227"/>
    </row>
    <row r="174" spans="1:26" ht="16.8">
      <c r="A174" s="227"/>
      <c r="B174" s="227"/>
      <c r="C174" s="227"/>
      <c r="D174" s="227"/>
      <c r="E174" s="227"/>
      <c r="F174" s="227"/>
      <c r="G174" s="227"/>
      <c r="H174" s="227"/>
      <c r="I174" s="227"/>
      <c r="J174" s="227"/>
      <c r="K174" s="227"/>
      <c r="L174" s="227"/>
      <c r="M174" s="227"/>
      <c r="N174" s="227"/>
      <c r="O174" s="227"/>
      <c r="P174" s="227"/>
      <c r="Q174" s="227"/>
      <c r="R174" s="227"/>
      <c r="S174" s="227"/>
      <c r="T174" s="227"/>
      <c r="U174" s="227"/>
      <c r="V174" s="227"/>
      <c r="W174" s="227"/>
      <c r="X174" s="227"/>
      <c r="Y174" s="227"/>
      <c r="Z174" s="227"/>
    </row>
    <row r="175" spans="1:26" ht="16.8">
      <c r="A175" s="226"/>
      <c r="B175" s="227"/>
      <c r="C175" s="227"/>
      <c r="D175" s="227"/>
      <c r="E175" s="227"/>
      <c r="F175" s="227"/>
      <c r="G175" s="227"/>
      <c r="H175" s="227"/>
      <c r="I175" s="227"/>
      <c r="J175" s="227"/>
      <c r="K175" s="227"/>
      <c r="L175" s="227"/>
      <c r="M175" s="227"/>
      <c r="N175" s="227"/>
      <c r="O175" s="227"/>
      <c r="P175" s="227"/>
      <c r="Q175" s="227"/>
      <c r="R175" s="227"/>
      <c r="S175" s="227"/>
      <c r="T175" s="227"/>
      <c r="U175" s="227"/>
      <c r="V175" s="227"/>
      <c r="W175" s="227"/>
      <c r="X175" s="227"/>
      <c r="Y175" s="227"/>
      <c r="Z175" s="227"/>
    </row>
    <row r="176" spans="1:26" ht="16.8">
      <c r="A176" s="227"/>
      <c r="B176" s="227"/>
      <c r="C176" s="227"/>
      <c r="D176" s="227"/>
      <c r="E176" s="227"/>
      <c r="F176" s="227"/>
      <c r="G176" s="227"/>
      <c r="H176" s="227"/>
      <c r="I176" s="227"/>
      <c r="J176" s="227"/>
      <c r="K176" s="227"/>
      <c r="L176" s="227"/>
      <c r="M176" s="227"/>
      <c r="N176" s="227"/>
      <c r="O176" s="227"/>
      <c r="P176" s="227"/>
      <c r="Q176" s="227"/>
      <c r="R176" s="227"/>
      <c r="S176" s="227"/>
      <c r="T176" s="227"/>
      <c r="U176" s="227"/>
      <c r="V176" s="227"/>
      <c r="W176" s="227"/>
      <c r="X176" s="227"/>
      <c r="Y176" s="227"/>
      <c r="Z176" s="227"/>
    </row>
    <row r="177" spans="1:26" ht="16.8">
      <c r="A177" s="227"/>
      <c r="B177" s="227"/>
      <c r="C177" s="227"/>
      <c r="D177" s="227"/>
      <c r="E177" s="227"/>
      <c r="F177" s="227"/>
      <c r="G177" s="227"/>
      <c r="H177" s="227"/>
      <c r="I177" s="227"/>
      <c r="J177" s="227"/>
      <c r="K177" s="227"/>
      <c r="L177" s="227"/>
      <c r="M177" s="227"/>
      <c r="N177" s="227"/>
      <c r="O177" s="227"/>
      <c r="P177" s="227"/>
      <c r="Q177" s="227"/>
      <c r="R177" s="227"/>
      <c r="S177" s="227"/>
      <c r="T177" s="227"/>
      <c r="U177" s="227"/>
      <c r="V177" s="227"/>
      <c r="W177" s="227"/>
      <c r="X177" s="227"/>
      <c r="Y177" s="227"/>
      <c r="Z177" s="227"/>
    </row>
    <row r="178" spans="1:26" ht="16.8">
      <c r="A178" s="227"/>
      <c r="B178" s="227"/>
      <c r="C178" s="227"/>
      <c r="D178" s="227"/>
      <c r="E178" s="227"/>
      <c r="F178" s="227"/>
      <c r="G178" s="227"/>
      <c r="H178" s="227"/>
      <c r="I178" s="227"/>
      <c r="J178" s="227"/>
      <c r="K178" s="227"/>
      <c r="L178" s="227"/>
      <c r="M178" s="227"/>
      <c r="N178" s="227"/>
      <c r="O178" s="227"/>
      <c r="P178" s="227"/>
      <c r="Q178" s="227"/>
      <c r="R178" s="227"/>
      <c r="S178" s="227"/>
      <c r="T178" s="227"/>
      <c r="U178" s="227"/>
      <c r="V178" s="227"/>
      <c r="W178" s="227"/>
      <c r="X178" s="227"/>
      <c r="Y178" s="227"/>
      <c r="Z178" s="227"/>
    </row>
    <row r="179" spans="1:26" ht="16.8">
      <c r="A179" s="227"/>
      <c r="B179" s="227"/>
      <c r="C179" s="227"/>
      <c r="D179" s="227"/>
      <c r="E179" s="227"/>
      <c r="F179" s="227"/>
      <c r="G179" s="227"/>
      <c r="H179" s="227"/>
      <c r="I179" s="227"/>
      <c r="J179" s="227"/>
      <c r="K179" s="227"/>
      <c r="L179" s="227"/>
      <c r="M179" s="227"/>
      <c r="N179" s="227"/>
      <c r="O179" s="227"/>
      <c r="P179" s="227"/>
      <c r="Q179" s="227"/>
      <c r="R179" s="227"/>
      <c r="S179" s="227"/>
      <c r="T179" s="227"/>
      <c r="U179" s="227"/>
      <c r="V179" s="227"/>
      <c r="W179" s="227"/>
      <c r="X179" s="227"/>
      <c r="Y179" s="227"/>
      <c r="Z179" s="227"/>
    </row>
    <row r="180" spans="1:26" ht="16.8">
      <c r="A180" s="227"/>
      <c r="B180" s="227"/>
      <c r="C180" s="227"/>
      <c r="D180" s="227"/>
      <c r="E180" s="227"/>
      <c r="F180" s="227"/>
      <c r="G180" s="227"/>
      <c r="H180" s="227"/>
      <c r="I180" s="227"/>
      <c r="J180" s="227"/>
      <c r="K180" s="227"/>
      <c r="L180" s="227"/>
      <c r="M180" s="227"/>
      <c r="N180" s="227"/>
      <c r="O180" s="227"/>
      <c r="P180" s="227"/>
      <c r="Q180" s="227"/>
      <c r="R180" s="227"/>
      <c r="S180" s="227"/>
      <c r="T180" s="227"/>
      <c r="U180" s="227"/>
      <c r="V180" s="227"/>
      <c r="W180" s="227"/>
      <c r="X180" s="227"/>
      <c r="Y180" s="227"/>
      <c r="Z180" s="227"/>
    </row>
    <row r="181" spans="1:26" ht="16.8">
      <c r="A181" s="230"/>
      <c r="B181" s="227"/>
      <c r="C181" s="227"/>
      <c r="D181" s="227"/>
      <c r="E181" s="227"/>
      <c r="F181" s="227"/>
      <c r="G181" s="227"/>
      <c r="H181" s="227"/>
      <c r="I181" s="227"/>
      <c r="J181" s="227"/>
      <c r="K181" s="227"/>
      <c r="L181" s="227"/>
      <c r="M181" s="227"/>
      <c r="N181" s="227"/>
      <c r="O181" s="227"/>
      <c r="P181" s="227"/>
      <c r="Q181" s="227"/>
      <c r="R181" s="227"/>
      <c r="S181" s="227"/>
      <c r="T181" s="227"/>
      <c r="U181" s="227"/>
      <c r="V181" s="227"/>
      <c r="W181" s="227"/>
      <c r="X181" s="227"/>
      <c r="Y181" s="227"/>
      <c r="Z181" s="227"/>
    </row>
    <row r="182" spans="1:26" ht="16.8">
      <c r="A182" s="227"/>
      <c r="B182" s="227"/>
      <c r="C182" s="227"/>
      <c r="D182" s="227"/>
      <c r="E182" s="227"/>
      <c r="F182" s="227"/>
      <c r="G182" s="227"/>
      <c r="H182" s="227"/>
      <c r="I182" s="227"/>
      <c r="J182" s="227"/>
      <c r="K182" s="227"/>
      <c r="L182" s="227"/>
      <c r="M182" s="227"/>
      <c r="N182" s="227"/>
      <c r="O182" s="227"/>
      <c r="P182" s="227"/>
      <c r="Q182" s="227"/>
      <c r="R182" s="227"/>
      <c r="S182" s="227"/>
      <c r="T182" s="227"/>
      <c r="U182" s="227"/>
      <c r="V182" s="227"/>
      <c r="W182" s="227"/>
      <c r="X182" s="227"/>
      <c r="Y182" s="227"/>
      <c r="Z182" s="227"/>
    </row>
    <row r="183" spans="1:26" ht="16.8">
      <c r="A183" s="230"/>
      <c r="B183" s="227"/>
      <c r="C183" s="227"/>
      <c r="D183" s="227"/>
      <c r="E183" s="227"/>
      <c r="F183" s="227"/>
      <c r="G183" s="227"/>
      <c r="H183" s="227"/>
      <c r="I183" s="227"/>
      <c r="J183" s="227"/>
      <c r="K183" s="227"/>
      <c r="L183" s="227"/>
      <c r="M183" s="227"/>
      <c r="N183" s="227"/>
      <c r="O183" s="227"/>
      <c r="P183" s="227"/>
      <c r="Q183" s="227"/>
      <c r="R183" s="227"/>
      <c r="S183" s="227"/>
      <c r="T183" s="227"/>
      <c r="U183" s="227"/>
      <c r="V183" s="227"/>
      <c r="W183" s="227"/>
      <c r="X183" s="227"/>
      <c r="Y183" s="227"/>
      <c r="Z183" s="227"/>
    </row>
    <row r="184" spans="1:26" ht="16.8">
      <c r="A184" s="227"/>
      <c r="B184" s="227"/>
      <c r="C184" s="227"/>
      <c r="D184" s="227"/>
      <c r="E184" s="227"/>
      <c r="F184" s="227"/>
      <c r="G184" s="227"/>
      <c r="H184" s="227"/>
      <c r="I184" s="227"/>
      <c r="J184" s="227"/>
      <c r="K184" s="227"/>
      <c r="L184" s="227"/>
      <c r="M184" s="227"/>
      <c r="N184" s="227"/>
      <c r="O184" s="227"/>
      <c r="P184" s="227"/>
      <c r="Q184" s="227"/>
      <c r="R184" s="227"/>
      <c r="S184" s="227"/>
      <c r="T184" s="227"/>
      <c r="U184" s="227"/>
      <c r="V184" s="227"/>
      <c r="W184" s="227"/>
      <c r="X184" s="227"/>
      <c r="Y184" s="227"/>
      <c r="Z184" s="227"/>
    </row>
    <row r="185" spans="1:26" ht="16.8">
      <c r="A185" s="227"/>
      <c r="B185" s="227"/>
      <c r="C185" s="227"/>
      <c r="D185" s="227"/>
      <c r="E185" s="227"/>
      <c r="F185" s="227"/>
      <c r="G185" s="227"/>
      <c r="H185" s="227"/>
      <c r="I185" s="227"/>
      <c r="J185" s="227"/>
      <c r="K185" s="227"/>
      <c r="L185" s="227"/>
      <c r="M185" s="227"/>
      <c r="N185" s="227"/>
      <c r="O185" s="227"/>
      <c r="P185" s="227"/>
      <c r="Q185" s="227"/>
      <c r="R185" s="227"/>
      <c r="S185" s="227"/>
      <c r="T185" s="227"/>
      <c r="U185" s="227"/>
      <c r="V185" s="227"/>
      <c r="W185" s="227"/>
      <c r="X185" s="227"/>
      <c r="Y185" s="227"/>
      <c r="Z185" s="227"/>
    </row>
    <row r="186" spans="1:26" ht="16.8">
      <c r="A186" s="227"/>
      <c r="B186" s="227"/>
      <c r="C186" s="227"/>
      <c r="D186" s="227"/>
      <c r="E186" s="227"/>
      <c r="F186" s="227"/>
      <c r="G186" s="227"/>
      <c r="H186" s="227"/>
      <c r="I186" s="227"/>
      <c r="J186" s="227"/>
      <c r="K186" s="227"/>
      <c r="L186" s="227"/>
      <c r="M186" s="227"/>
      <c r="N186" s="227"/>
      <c r="O186" s="227"/>
      <c r="P186" s="227"/>
      <c r="Q186" s="227"/>
      <c r="R186" s="227"/>
      <c r="S186" s="227"/>
      <c r="T186" s="227"/>
      <c r="U186" s="227"/>
      <c r="V186" s="227"/>
      <c r="W186" s="227"/>
      <c r="X186" s="227"/>
      <c r="Y186" s="227"/>
      <c r="Z186" s="227"/>
    </row>
    <row r="187" spans="1:26" ht="16.8">
      <c r="A187" s="227"/>
      <c r="B187" s="227"/>
      <c r="C187" s="227"/>
      <c r="D187" s="227"/>
      <c r="E187" s="227"/>
      <c r="F187" s="227"/>
      <c r="G187" s="227"/>
      <c r="H187" s="227"/>
      <c r="I187" s="227"/>
      <c r="J187" s="227"/>
      <c r="K187" s="227"/>
      <c r="L187" s="227"/>
      <c r="M187" s="227"/>
      <c r="N187" s="227"/>
      <c r="O187" s="227"/>
      <c r="P187" s="227"/>
      <c r="Q187" s="227"/>
      <c r="R187" s="227"/>
      <c r="S187" s="227"/>
      <c r="T187" s="227"/>
      <c r="U187" s="227"/>
      <c r="V187" s="227"/>
      <c r="W187" s="227"/>
      <c r="X187" s="227"/>
      <c r="Y187" s="227"/>
      <c r="Z187" s="227"/>
    </row>
    <row r="188" spans="1:26" ht="16.8">
      <c r="A188" s="227"/>
      <c r="B188" s="227"/>
      <c r="C188" s="227"/>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row>
    <row r="189" spans="1:26" ht="16.8">
      <c r="A189" s="227"/>
      <c r="B189" s="227"/>
      <c r="C189" s="227"/>
      <c r="D189" s="227"/>
      <c r="E189" s="227"/>
      <c r="F189" s="227"/>
      <c r="G189" s="227"/>
      <c r="H189" s="227"/>
      <c r="I189" s="227"/>
      <c r="J189" s="227"/>
      <c r="K189" s="227"/>
      <c r="L189" s="227"/>
      <c r="M189" s="227"/>
      <c r="N189" s="227"/>
      <c r="O189" s="227"/>
      <c r="P189" s="227"/>
      <c r="Q189" s="227"/>
      <c r="R189" s="227"/>
      <c r="S189" s="227"/>
      <c r="T189" s="227"/>
      <c r="U189" s="227"/>
      <c r="V189" s="227"/>
      <c r="W189" s="227"/>
      <c r="X189" s="227"/>
      <c r="Y189" s="227"/>
      <c r="Z189" s="227"/>
    </row>
    <row r="190" spans="1:26" ht="16.8">
      <c r="A190" s="227"/>
      <c r="B190" s="227"/>
      <c r="C190" s="227"/>
      <c r="D190" s="227"/>
      <c r="E190" s="227"/>
      <c r="F190" s="227"/>
      <c r="G190" s="227"/>
      <c r="H190" s="227"/>
      <c r="I190" s="227"/>
      <c r="J190" s="227"/>
      <c r="K190" s="227"/>
      <c r="L190" s="227"/>
      <c r="M190" s="227"/>
      <c r="N190" s="227"/>
      <c r="O190" s="227"/>
      <c r="P190" s="227"/>
      <c r="Q190" s="227"/>
      <c r="R190" s="227"/>
      <c r="S190" s="227"/>
      <c r="T190" s="227"/>
      <c r="U190" s="227"/>
      <c r="V190" s="227"/>
      <c r="W190" s="227"/>
      <c r="X190" s="227"/>
      <c r="Y190" s="227"/>
      <c r="Z190" s="227"/>
    </row>
    <row r="191" spans="1:26" ht="16.8">
      <c r="A191" s="227"/>
      <c r="B191" s="227"/>
      <c r="C191" s="227"/>
      <c r="D191" s="227"/>
      <c r="E191" s="227"/>
      <c r="F191" s="227"/>
      <c r="G191" s="227"/>
      <c r="H191" s="227"/>
      <c r="I191" s="227"/>
      <c r="J191" s="227"/>
      <c r="K191" s="227"/>
      <c r="L191" s="227"/>
      <c r="M191" s="227"/>
      <c r="N191" s="227"/>
      <c r="O191" s="227"/>
      <c r="P191" s="227"/>
      <c r="Q191" s="227"/>
      <c r="R191" s="227"/>
      <c r="S191" s="227"/>
      <c r="T191" s="227"/>
      <c r="U191" s="227"/>
      <c r="V191" s="227"/>
      <c r="W191" s="227"/>
      <c r="X191" s="227"/>
      <c r="Y191" s="227"/>
      <c r="Z191" s="227"/>
    </row>
    <row r="192" spans="1:26" ht="16.8">
      <c r="A192" s="226"/>
      <c r="B192" s="227"/>
      <c r="C192" s="227"/>
      <c r="D192" s="227"/>
      <c r="E192" s="227"/>
      <c r="F192" s="227"/>
      <c r="G192" s="227"/>
      <c r="H192" s="227"/>
      <c r="I192" s="227"/>
      <c r="J192" s="227"/>
      <c r="K192" s="227"/>
      <c r="L192" s="227"/>
      <c r="M192" s="227"/>
      <c r="N192" s="227"/>
      <c r="O192" s="227"/>
      <c r="P192" s="227"/>
      <c r="Q192" s="227"/>
      <c r="R192" s="227"/>
      <c r="S192" s="227"/>
      <c r="T192" s="227"/>
      <c r="U192" s="227"/>
      <c r="V192" s="227"/>
      <c r="W192" s="227"/>
      <c r="X192" s="227"/>
      <c r="Y192" s="227"/>
      <c r="Z192" s="227"/>
    </row>
    <row r="193" spans="1:26" ht="16.8">
      <c r="A193" s="227"/>
      <c r="B193" s="227"/>
      <c r="C193" s="227"/>
      <c r="D193" s="227"/>
      <c r="E193" s="227"/>
      <c r="F193" s="227"/>
      <c r="G193" s="227"/>
      <c r="H193" s="227"/>
      <c r="I193" s="227"/>
      <c r="J193" s="227"/>
      <c r="K193" s="227"/>
      <c r="L193" s="227"/>
      <c r="M193" s="227"/>
      <c r="N193" s="227"/>
      <c r="O193" s="227"/>
      <c r="P193" s="227"/>
      <c r="Q193" s="227"/>
      <c r="R193" s="227"/>
      <c r="S193" s="227"/>
      <c r="T193" s="227"/>
      <c r="U193" s="227"/>
      <c r="V193" s="227"/>
      <c r="W193" s="227"/>
      <c r="X193" s="227"/>
      <c r="Y193" s="227"/>
      <c r="Z193" s="227"/>
    </row>
    <row r="194" spans="1:26" ht="16.8">
      <c r="A194" s="227"/>
      <c r="B194" s="227"/>
      <c r="C194" s="227"/>
      <c r="D194" s="227"/>
      <c r="E194" s="227"/>
      <c r="F194" s="227"/>
      <c r="G194" s="227"/>
      <c r="H194" s="227"/>
      <c r="I194" s="227"/>
      <c r="J194" s="227"/>
      <c r="K194" s="227"/>
      <c r="L194" s="227"/>
      <c r="M194" s="227"/>
      <c r="N194" s="227"/>
      <c r="O194" s="227"/>
      <c r="P194" s="227"/>
      <c r="Q194" s="227"/>
      <c r="R194" s="227"/>
      <c r="S194" s="227"/>
      <c r="T194" s="227"/>
      <c r="U194" s="227"/>
      <c r="V194" s="227"/>
      <c r="W194" s="227"/>
      <c r="X194" s="227"/>
      <c r="Y194" s="227"/>
      <c r="Z194" s="227"/>
    </row>
    <row r="195" spans="1:26" ht="16.8">
      <c r="A195" s="226"/>
      <c r="B195" s="227"/>
      <c r="C195" s="227"/>
      <c r="D195" s="227"/>
      <c r="E195" s="227"/>
      <c r="F195" s="227"/>
      <c r="G195" s="227"/>
      <c r="H195" s="227"/>
      <c r="I195" s="227"/>
      <c r="J195" s="227"/>
      <c r="K195" s="227"/>
      <c r="L195" s="227"/>
      <c r="M195" s="227"/>
      <c r="N195" s="227"/>
      <c r="O195" s="227"/>
      <c r="P195" s="227"/>
      <c r="Q195" s="227"/>
      <c r="R195" s="227"/>
      <c r="S195" s="227"/>
      <c r="T195" s="227"/>
      <c r="U195" s="227"/>
      <c r="V195" s="227"/>
      <c r="W195" s="227"/>
      <c r="X195" s="227"/>
      <c r="Y195" s="227"/>
      <c r="Z195" s="227"/>
    </row>
    <row r="196" spans="1:26" ht="16.8">
      <c r="A196" s="227"/>
      <c r="B196" s="227"/>
      <c r="C196" s="227"/>
      <c r="D196" s="227"/>
      <c r="E196" s="227"/>
      <c r="F196" s="227"/>
      <c r="G196" s="227"/>
      <c r="H196" s="227"/>
      <c r="I196" s="227"/>
      <c r="J196" s="227"/>
      <c r="K196" s="227"/>
      <c r="L196" s="227"/>
      <c r="M196" s="227"/>
      <c r="N196" s="227"/>
      <c r="O196" s="227"/>
      <c r="P196" s="227"/>
      <c r="Q196" s="227"/>
      <c r="R196" s="227"/>
      <c r="S196" s="227"/>
      <c r="T196" s="227"/>
      <c r="U196" s="227"/>
      <c r="V196" s="227"/>
      <c r="W196" s="227"/>
      <c r="X196" s="227"/>
      <c r="Y196" s="227"/>
      <c r="Z196" s="227"/>
    </row>
    <row r="197" spans="1:26" ht="16.8">
      <c r="A197" s="227"/>
      <c r="B197" s="227"/>
      <c r="C197" s="227"/>
      <c r="D197" s="227"/>
      <c r="E197" s="227"/>
      <c r="F197" s="227"/>
      <c r="G197" s="227"/>
      <c r="H197" s="227"/>
      <c r="I197" s="227"/>
      <c r="J197" s="227"/>
      <c r="K197" s="227"/>
      <c r="L197" s="227"/>
      <c r="M197" s="227"/>
      <c r="N197" s="227"/>
      <c r="O197" s="227"/>
      <c r="P197" s="227"/>
      <c r="Q197" s="227"/>
      <c r="R197" s="227"/>
      <c r="S197" s="227"/>
      <c r="T197" s="227"/>
      <c r="U197" s="227"/>
      <c r="V197" s="227"/>
      <c r="W197" s="227"/>
      <c r="X197" s="227"/>
      <c r="Y197" s="227"/>
      <c r="Z197" s="227"/>
    </row>
    <row r="198" spans="1:26" ht="16.8">
      <c r="A198" s="227"/>
      <c r="B198" s="227"/>
      <c r="C198" s="22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c r="Z198" s="227"/>
    </row>
    <row r="199" spans="1:26" ht="16.8">
      <c r="A199" s="227"/>
      <c r="B199" s="227"/>
      <c r="C199" s="227"/>
      <c r="D199" s="227"/>
      <c r="E199" s="227"/>
      <c r="F199" s="227"/>
      <c r="G199" s="227"/>
      <c r="H199" s="227"/>
      <c r="I199" s="227"/>
      <c r="J199" s="227"/>
      <c r="K199" s="227"/>
      <c r="L199" s="227"/>
      <c r="M199" s="227"/>
      <c r="N199" s="227"/>
      <c r="O199" s="227"/>
      <c r="P199" s="227"/>
      <c r="Q199" s="227"/>
      <c r="R199" s="227"/>
      <c r="S199" s="227"/>
      <c r="T199" s="227"/>
      <c r="U199" s="227"/>
      <c r="V199" s="227"/>
      <c r="W199" s="227"/>
      <c r="X199" s="227"/>
      <c r="Y199" s="227"/>
      <c r="Z199" s="227"/>
    </row>
    <row r="200" spans="1:26" ht="16.8">
      <c r="A200" s="227"/>
      <c r="B200" s="227"/>
      <c r="C200" s="227"/>
      <c r="D200" s="227"/>
      <c r="E200" s="227"/>
      <c r="F200" s="227"/>
      <c r="G200" s="227"/>
      <c r="H200" s="227"/>
      <c r="I200" s="227"/>
      <c r="J200" s="227"/>
      <c r="K200" s="227"/>
      <c r="L200" s="227"/>
      <c r="M200" s="227"/>
      <c r="N200" s="227"/>
      <c r="O200" s="227"/>
      <c r="P200" s="227"/>
      <c r="Q200" s="227"/>
      <c r="R200" s="227"/>
      <c r="S200" s="227"/>
      <c r="T200" s="227"/>
      <c r="U200" s="227"/>
      <c r="V200" s="227"/>
      <c r="W200" s="227"/>
      <c r="X200" s="227"/>
      <c r="Y200" s="227"/>
      <c r="Z200" s="227"/>
    </row>
    <row r="201" spans="1:26" ht="16.8">
      <c r="A201" s="230"/>
      <c r="B201" s="227"/>
      <c r="C201" s="227"/>
      <c r="D201" s="227"/>
      <c r="E201" s="227"/>
      <c r="F201" s="227"/>
      <c r="G201" s="227"/>
      <c r="H201" s="227"/>
      <c r="I201" s="227"/>
      <c r="J201" s="227"/>
      <c r="K201" s="227"/>
      <c r="L201" s="227"/>
      <c r="M201" s="227"/>
      <c r="N201" s="227"/>
      <c r="O201" s="227"/>
      <c r="P201" s="227"/>
      <c r="Q201" s="227"/>
      <c r="R201" s="227"/>
      <c r="S201" s="227"/>
      <c r="T201" s="227"/>
      <c r="U201" s="227"/>
      <c r="V201" s="227"/>
      <c r="W201" s="227"/>
      <c r="X201" s="227"/>
      <c r="Y201" s="227"/>
      <c r="Z201" s="227"/>
    </row>
    <row r="202" spans="1:26" ht="16.8">
      <c r="A202" s="227"/>
      <c r="B202" s="227"/>
      <c r="C202" s="227"/>
      <c r="D202" s="227"/>
      <c r="E202" s="227"/>
      <c r="F202" s="227"/>
      <c r="G202" s="227"/>
      <c r="H202" s="227"/>
      <c r="I202" s="227"/>
      <c r="J202" s="227"/>
      <c r="K202" s="227"/>
      <c r="L202" s="227"/>
      <c r="M202" s="227"/>
      <c r="N202" s="227"/>
      <c r="O202" s="227"/>
      <c r="P202" s="227"/>
      <c r="Q202" s="227"/>
      <c r="R202" s="227"/>
      <c r="S202" s="227"/>
      <c r="T202" s="227"/>
      <c r="U202" s="227"/>
      <c r="V202" s="227"/>
      <c r="W202" s="227"/>
      <c r="X202" s="227"/>
      <c r="Y202" s="227"/>
      <c r="Z202" s="227"/>
    </row>
    <row r="203" spans="1:26" ht="16.8">
      <c r="A203" s="230"/>
      <c r="B203" s="227"/>
      <c r="C203" s="227"/>
      <c r="D203" s="227"/>
      <c r="E203" s="227"/>
      <c r="F203" s="227"/>
      <c r="G203" s="227"/>
      <c r="H203" s="227"/>
      <c r="I203" s="227"/>
      <c r="J203" s="227"/>
      <c r="K203" s="227"/>
      <c r="L203" s="227"/>
      <c r="M203" s="227"/>
      <c r="N203" s="227"/>
      <c r="O203" s="227"/>
      <c r="P203" s="227"/>
      <c r="Q203" s="227"/>
      <c r="R203" s="227"/>
      <c r="S203" s="227"/>
      <c r="T203" s="227"/>
      <c r="U203" s="227"/>
      <c r="V203" s="227"/>
      <c r="W203" s="227"/>
      <c r="X203" s="227"/>
      <c r="Y203" s="227"/>
      <c r="Z203" s="227"/>
    </row>
    <row r="204" spans="1:26" ht="16.8">
      <c r="A204" s="227"/>
      <c r="B204" s="227"/>
      <c r="C204" s="227"/>
      <c r="D204" s="227"/>
      <c r="E204" s="227"/>
      <c r="F204" s="227"/>
      <c r="G204" s="227"/>
      <c r="H204" s="227"/>
      <c r="I204" s="227"/>
      <c r="J204" s="227"/>
      <c r="K204" s="227"/>
      <c r="L204" s="227"/>
      <c r="M204" s="227"/>
      <c r="N204" s="227"/>
      <c r="O204" s="227"/>
      <c r="P204" s="227"/>
      <c r="Q204" s="227"/>
      <c r="R204" s="227"/>
      <c r="S204" s="227"/>
      <c r="T204" s="227"/>
      <c r="U204" s="227"/>
      <c r="V204" s="227"/>
      <c r="W204" s="227"/>
      <c r="X204" s="227"/>
      <c r="Y204" s="227"/>
      <c r="Z204" s="227"/>
    </row>
    <row r="205" spans="1:26" ht="16.8">
      <c r="A205" s="227"/>
      <c r="B205" s="227"/>
      <c r="C205" s="227"/>
      <c r="D205" s="227"/>
      <c r="E205" s="227"/>
      <c r="F205" s="227"/>
      <c r="G205" s="227"/>
      <c r="H205" s="227"/>
      <c r="I205" s="227"/>
      <c r="J205" s="227"/>
      <c r="K205" s="227"/>
      <c r="L205" s="227"/>
      <c r="M205" s="227"/>
      <c r="N205" s="227"/>
      <c r="O205" s="227"/>
      <c r="P205" s="227"/>
      <c r="Q205" s="227"/>
      <c r="R205" s="227"/>
      <c r="S205" s="227"/>
      <c r="T205" s="227"/>
      <c r="U205" s="227"/>
      <c r="V205" s="227"/>
      <c r="W205" s="227"/>
      <c r="X205" s="227"/>
      <c r="Y205" s="227"/>
      <c r="Z205" s="227"/>
    </row>
    <row r="206" spans="1:26" ht="16.8">
      <c r="A206" s="227"/>
      <c r="B206" s="227"/>
      <c r="C206" s="227"/>
      <c r="D206" s="227"/>
      <c r="E206" s="227"/>
      <c r="F206" s="227"/>
      <c r="G206" s="227"/>
      <c r="H206" s="227"/>
      <c r="I206" s="227"/>
      <c r="J206" s="227"/>
      <c r="K206" s="227"/>
      <c r="L206" s="227"/>
      <c r="M206" s="227"/>
      <c r="N206" s="227"/>
      <c r="O206" s="227"/>
      <c r="P206" s="227"/>
      <c r="Q206" s="227"/>
      <c r="R206" s="227"/>
      <c r="S206" s="227"/>
      <c r="T206" s="227"/>
      <c r="U206" s="227"/>
      <c r="V206" s="227"/>
      <c r="W206" s="227"/>
      <c r="X206" s="227"/>
      <c r="Y206" s="227"/>
      <c r="Z206" s="227"/>
    </row>
    <row r="207" spans="1:26" ht="16.8">
      <c r="A207" s="227"/>
      <c r="B207" s="227"/>
      <c r="C207" s="227"/>
      <c r="D207" s="227"/>
      <c r="E207" s="227"/>
      <c r="F207" s="227"/>
      <c r="G207" s="227"/>
      <c r="H207" s="227"/>
      <c r="I207" s="227"/>
      <c r="J207" s="227"/>
      <c r="K207" s="227"/>
      <c r="L207" s="227"/>
      <c r="M207" s="227"/>
      <c r="N207" s="227"/>
      <c r="O207" s="227"/>
      <c r="P207" s="227"/>
      <c r="Q207" s="227"/>
      <c r="R207" s="227"/>
      <c r="S207" s="227"/>
      <c r="T207" s="227"/>
      <c r="U207" s="227"/>
      <c r="V207" s="227"/>
      <c r="W207" s="227"/>
      <c r="X207" s="227"/>
      <c r="Y207" s="227"/>
      <c r="Z207" s="227"/>
    </row>
    <row r="208" spans="1:26" ht="16.8">
      <c r="A208" s="227"/>
      <c r="B208" s="227"/>
      <c r="C208" s="227"/>
      <c r="D208" s="227"/>
      <c r="E208" s="227"/>
      <c r="F208" s="227"/>
      <c r="G208" s="227"/>
      <c r="H208" s="227"/>
      <c r="I208" s="227"/>
      <c r="J208" s="227"/>
      <c r="K208" s="227"/>
      <c r="L208" s="227"/>
      <c r="M208" s="227"/>
      <c r="N208" s="227"/>
      <c r="O208" s="227"/>
      <c r="P208" s="227"/>
      <c r="Q208" s="227"/>
      <c r="R208" s="227"/>
      <c r="S208" s="227"/>
      <c r="T208" s="227"/>
      <c r="U208" s="227"/>
      <c r="V208" s="227"/>
      <c r="W208" s="227"/>
      <c r="X208" s="227"/>
      <c r="Y208" s="227"/>
      <c r="Z208" s="227"/>
    </row>
    <row r="209" spans="1:26" ht="16.8">
      <c r="A209" s="227"/>
      <c r="B209" s="227"/>
      <c r="C209" s="227"/>
      <c r="D209" s="227"/>
      <c r="E209" s="227"/>
      <c r="F209" s="227"/>
      <c r="G209" s="227"/>
      <c r="H209" s="227"/>
      <c r="I209" s="227"/>
      <c r="J209" s="227"/>
      <c r="K209" s="227"/>
      <c r="L209" s="227"/>
      <c r="M209" s="227"/>
      <c r="N209" s="227"/>
      <c r="O209" s="227"/>
      <c r="P209" s="227"/>
      <c r="Q209" s="227"/>
      <c r="R209" s="227"/>
      <c r="S209" s="227"/>
      <c r="T209" s="227"/>
      <c r="U209" s="227"/>
      <c r="V209" s="227"/>
      <c r="W209" s="227"/>
      <c r="X209" s="227"/>
      <c r="Y209" s="227"/>
      <c r="Z209" s="227"/>
    </row>
    <row r="210" spans="1:26" ht="16.8">
      <c r="A210" s="227"/>
      <c r="B210" s="227"/>
      <c r="C210" s="227"/>
      <c r="D210" s="227"/>
      <c r="E210" s="227"/>
      <c r="F210" s="227"/>
      <c r="G210" s="227"/>
      <c r="H210" s="227"/>
      <c r="I210" s="227"/>
      <c r="J210" s="227"/>
      <c r="K210" s="227"/>
      <c r="L210" s="227"/>
      <c r="M210" s="227"/>
      <c r="N210" s="227"/>
      <c r="O210" s="227"/>
      <c r="P210" s="227"/>
      <c r="Q210" s="227"/>
      <c r="R210" s="227"/>
      <c r="S210" s="227"/>
      <c r="T210" s="227"/>
      <c r="U210" s="227"/>
      <c r="V210" s="227"/>
      <c r="W210" s="227"/>
      <c r="X210" s="227"/>
      <c r="Y210" s="227"/>
      <c r="Z210" s="227"/>
    </row>
    <row r="211" spans="1:26" ht="16.8">
      <c r="A211" s="227"/>
      <c r="B211" s="227"/>
      <c r="C211" s="227"/>
      <c r="D211" s="227"/>
      <c r="E211" s="227"/>
      <c r="F211" s="227"/>
      <c r="G211" s="227"/>
      <c r="H211" s="227"/>
      <c r="I211" s="227"/>
      <c r="J211" s="227"/>
      <c r="K211" s="227"/>
      <c r="L211" s="227"/>
      <c r="M211" s="227"/>
      <c r="N211" s="227"/>
      <c r="O211" s="227"/>
      <c r="P211" s="227"/>
      <c r="Q211" s="227"/>
      <c r="R211" s="227"/>
      <c r="S211" s="227"/>
      <c r="T211" s="227"/>
      <c r="U211" s="227"/>
      <c r="V211" s="227"/>
      <c r="W211" s="227"/>
      <c r="X211" s="227"/>
      <c r="Y211" s="227"/>
      <c r="Z211" s="227"/>
    </row>
    <row r="212" spans="1:26" ht="16.8">
      <c r="A212" s="227"/>
      <c r="B212" s="227"/>
      <c r="C212" s="227"/>
      <c r="D212" s="227"/>
      <c r="E212" s="227"/>
      <c r="F212" s="227"/>
      <c r="G212" s="227"/>
      <c r="H212" s="227"/>
      <c r="I212" s="227"/>
      <c r="J212" s="227"/>
      <c r="K212" s="227"/>
      <c r="L212" s="227"/>
      <c r="M212" s="227"/>
      <c r="N212" s="227"/>
      <c r="O212" s="227"/>
      <c r="P212" s="227"/>
      <c r="Q212" s="227"/>
      <c r="R212" s="227"/>
      <c r="S212" s="227"/>
      <c r="T212" s="227"/>
      <c r="U212" s="227"/>
      <c r="V212" s="227"/>
      <c r="W212" s="227"/>
      <c r="X212" s="227"/>
      <c r="Y212" s="227"/>
      <c r="Z212" s="227"/>
    </row>
    <row r="213" spans="1:26" ht="16.8">
      <c r="A213" s="227"/>
      <c r="B213" s="227"/>
      <c r="C213" s="227"/>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1:26" ht="16.8">
      <c r="A214" s="227"/>
      <c r="B214" s="227"/>
      <c r="C214" s="227"/>
      <c r="D214" s="227"/>
      <c r="E214" s="227"/>
      <c r="F214" s="227"/>
      <c r="G214" s="227"/>
      <c r="H214" s="227"/>
      <c r="I214" s="227"/>
      <c r="J214" s="227"/>
      <c r="K214" s="227"/>
      <c r="L214" s="227"/>
      <c r="M214" s="227"/>
      <c r="N214" s="227"/>
      <c r="O214" s="227"/>
      <c r="P214" s="227"/>
      <c r="Q214" s="227"/>
      <c r="R214" s="227"/>
      <c r="S214" s="227"/>
      <c r="T214" s="227"/>
      <c r="U214" s="227"/>
      <c r="V214" s="227"/>
      <c r="W214" s="227"/>
      <c r="X214" s="227"/>
      <c r="Y214" s="227"/>
      <c r="Z214" s="227"/>
    </row>
    <row r="215" spans="1:26" ht="16.8">
      <c r="A215" s="227"/>
      <c r="B215" s="227"/>
      <c r="C215" s="227"/>
      <c r="D215" s="227"/>
      <c r="E215" s="227"/>
      <c r="F215" s="227"/>
      <c r="G215" s="227"/>
      <c r="H215" s="227"/>
      <c r="I215" s="227"/>
      <c r="J215" s="227"/>
      <c r="K215" s="227"/>
      <c r="L215" s="227"/>
      <c r="M215" s="227"/>
      <c r="N215" s="227"/>
      <c r="O215" s="227"/>
      <c r="P215" s="227"/>
      <c r="Q215" s="227"/>
      <c r="R215" s="227"/>
      <c r="S215" s="227"/>
      <c r="T215" s="227"/>
      <c r="U215" s="227"/>
      <c r="V215" s="227"/>
      <c r="W215" s="227"/>
      <c r="X215" s="227"/>
      <c r="Y215" s="227"/>
      <c r="Z215" s="227"/>
    </row>
    <row r="216" spans="1:26" ht="16.8">
      <c r="A216" s="227"/>
      <c r="B216" s="227"/>
      <c r="C216" s="227"/>
      <c r="D216" s="227"/>
      <c r="E216" s="227"/>
      <c r="F216" s="227"/>
      <c r="G216" s="227"/>
      <c r="H216" s="227"/>
      <c r="I216" s="227"/>
      <c r="J216" s="227"/>
      <c r="K216" s="227"/>
      <c r="L216" s="227"/>
      <c r="M216" s="227"/>
      <c r="N216" s="227"/>
      <c r="O216" s="227"/>
      <c r="P216" s="227"/>
      <c r="Q216" s="227"/>
      <c r="R216" s="227"/>
      <c r="S216" s="227"/>
      <c r="T216" s="227"/>
      <c r="U216" s="227"/>
      <c r="V216" s="227"/>
      <c r="W216" s="227"/>
      <c r="X216" s="227"/>
      <c r="Y216" s="227"/>
      <c r="Z216" s="227"/>
    </row>
    <row r="217" spans="1:26" ht="16.8">
      <c r="A217" s="227"/>
      <c r="B217" s="227"/>
      <c r="C217" s="227"/>
      <c r="D217" s="227"/>
      <c r="E217" s="227"/>
      <c r="F217" s="227"/>
      <c r="G217" s="227"/>
      <c r="H217" s="227"/>
      <c r="I217" s="227"/>
      <c r="J217" s="227"/>
      <c r="K217" s="227"/>
      <c r="L217" s="227"/>
      <c r="M217" s="227"/>
      <c r="N217" s="227"/>
      <c r="O217" s="227"/>
      <c r="P217" s="227"/>
      <c r="Q217" s="227"/>
      <c r="R217" s="227"/>
      <c r="S217" s="227"/>
      <c r="T217" s="227"/>
      <c r="U217" s="227"/>
      <c r="V217" s="227"/>
      <c r="W217" s="227"/>
      <c r="X217" s="227"/>
      <c r="Y217" s="227"/>
      <c r="Z217" s="227"/>
    </row>
    <row r="218" spans="1:26" ht="16.8">
      <c r="A218" s="227"/>
      <c r="B218" s="227"/>
      <c r="C218" s="227"/>
      <c r="D218" s="227"/>
      <c r="E218" s="227"/>
      <c r="F218" s="227"/>
      <c r="G218" s="227"/>
      <c r="H218" s="227"/>
      <c r="I218" s="227"/>
      <c r="J218" s="227"/>
      <c r="K218" s="227"/>
      <c r="L218" s="227"/>
      <c r="M218" s="227"/>
      <c r="N218" s="227"/>
      <c r="O218" s="227"/>
      <c r="P218" s="227"/>
      <c r="Q218" s="227"/>
      <c r="R218" s="227"/>
      <c r="S218" s="227"/>
      <c r="T218" s="227"/>
      <c r="U218" s="227"/>
      <c r="V218" s="227"/>
      <c r="W218" s="227"/>
      <c r="X218" s="227"/>
      <c r="Y218" s="227"/>
      <c r="Z218" s="227"/>
    </row>
    <row r="219" spans="1:26" ht="16.8">
      <c r="A219" s="227"/>
      <c r="B219" s="227"/>
      <c r="C219" s="227"/>
      <c r="D219" s="227"/>
      <c r="E219" s="227"/>
      <c r="F219" s="227"/>
      <c r="G219" s="227"/>
      <c r="H219" s="227"/>
      <c r="I219" s="227"/>
      <c r="J219" s="227"/>
      <c r="K219" s="227"/>
      <c r="L219" s="227"/>
      <c r="M219" s="227"/>
      <c r="N219" s="227"/>
      <c r="O219" s="227"/>
      <c r="P219" s="227"/>
      <c r="Q219" s="227"/>
      <c r="R219" s="227"/>
      <c r="S219" s="227"/>
      <c r="T219" s="227"/>
      <c r="U219" s="227"/>
      <c r="V219" s="227"/>
      <c r="W219" s="227"/>
      <c r="X219" s="227"/>
      <c r="Y219" s="227"/>
      <c r="Z219" s="227"/>
    </row>
    <row r="220" spans="1:26" ht="16.8">
      <c r="A220" s="227"/>
      <c r="B220" s="227"/>
      <c r="C220" s="227"/>
      <c r="D220" s="227"/>
      <c r="E220" s="227"/>
      <c r="F220" s="227"/>
      <c r="G220" s="227"/>
      <c r="H220" s="227"/>
      <c r="I220" s="227"/>
      <c r="J220" s="227"/>
      <c r="K220" s="227"/>
      <c r="L220" s="227"/>
      <c r="M220" s="227"/>
      <c r="N220" s="227"/>
      <c r="O220" s="227"/>
      <c r="P220" s="227"/>
      <c r="Q220" s="227"/>
      <c r="R220" s="227"/>
      <c r="S220" s="227"/>
      <c r="T220" s="227"/>
      <c r="U220" s="227"/>
      <c r="V220" s="227"/>
      <c r="W220" s="227"/>
      <c r="X220" s="227"/>
      <c r="Y220" s="227"/>
      <c r="Z220" s="227"/>
    </row>
    <row r="221" spans="1:26" ht="16.8">
      <c r="A221" s="227"/>
      <c r="B221" s="227"/>
      <c r="C221" s="227"/>
      <c r="D221" s="227"/>
      <c r="E221" s="227"/>
      <c r="F221" s="227"/>
      <c r="G221" s="227"/>
      <c r="H221" s="227"/>
      <c r="I221" s="227"/>
      <c r="J221" s="227"/>
      <c r="K221" s="227"/>
      <c r="L221" s="227"/>
      <c r="M221" s="227"/>
      <c r="N221" s="227"/>
      <c r="O221" s="227"/>
      <c r="P221" s="227"/>
      <c r="Q221" s="227"/>
      <c r="R221" s="227"/>
      <c r="S221" s="227"/>
      <c r="T221" s="227"/>
      <c r="U221" s="227"/>
      <c r="V221" s="227"/>
      <c r="W221" s="227"/>
      <c r="X221" s="227"/>
      <c r="Y221" s="227"/>
      <c r="Z221" s="227"/>
    </row>
    <row r="222" spans="1:26" ht="16.8">
      <c r="A222" s="227"/>
      <c r="B222" s="227"/>
      <c r="C222" s="227"/>
      <c r="D222" s="227"/>
      <c r="E222" s="227"/>
      <c r="F222" s="227"/>
      <c r="G222" s="227"/>
      <c r="H222" s="227"/>
      <c r="I222" s="227"/>
      <c r="J222" s="227"/>
      <c r="K222" s="227"/>
      <c r="L222" s="227"/>
      <c r="M222" s="227"/>
      <c r="N222" s="227"/>
      <c r="O222" s="227"/>
      <c r="P222" s="227"/>
      <c r="Q222" s="227"/>
      <c r="R222" s="227"/>
      <c r="S222" s="227"/>
      <c r="T222" s="227"/>
      <c r="U222" s="227"/>
      <c r="V222" s="227"/>
      <c r="W222" s="227"/>
      <c r="X222" s="227"/>
      <c r="Y222" s="227"/>
      <c r="Z222" s="227"/>
    </row>
    <row r="223" spans="1:26" ht="16.8">
      <c r="A223" s="227"/>
      <c r="B223" s="227"/>
      <c r="C223" s="227"/>
      <c r="D223" s="227"/>
      <c r="E223" s="227"/>
      <c r="F223" s="227"/>
      <c r="G223" s="227"/>
      <c r="H223" s="227"/>
      <c r="I223" s="227"/>
      <c r="J223" s="227"/>
      <c r="K223" s="227"/>
      <c r="L223" s="227"/>
      <c r="M223" s="227"/>
      <c r="N223" s="227"/>
      <c r="O223" s="227"/>
      <c r="P223" s="227"/>
      <c r="Q223" s="227"/>
      <c r="R223" s="227"/>
      <c r="S223" s="227"/>
      <c r="T223" s="227"/>
      <c r="U223" s="227"/>
      <c r="V223" s="227"/>
      <c r="W223" s="227"/>
      <c r="X223" s="227"/>
      <c r="Y223" s="227"/>
      <c r="Z223" s="227"/>
    </row>
    <row r="224" spans="1:26" ht="16.8">
      <c r="A224" s="227"/>
      <c r="B224" s="227"/>
      <c r="C224" s="227"/>
      <c r="D224" s="227"/>
      <c r="E224" s="227"/>
      <c r="F224" s="227"/>
      <c r="G224" s="227"/>
      <c r="H224" s="227"/>
      <c r="I224" s="227"/>
      <c r="J224" s="227"/>
      <c r="K224" s="227"/>
      <c r="L224" s="227"/>
      <c r="M224" s="227"/>
      <c r="N224" s="227"/>
      <c r="O224" s="227"/>
      <c r="P224" s="227"/>
      <c r="Q224" s="227"/>
      <c r="R224" s="227"/>
      <c r="S224" s="227"/>
      <c r="T224" s="227"/>
      <c r="U224" s="227"/>
      <c r="V224" s="227"/>
      <c r="W224" s="227"/>
      <c r="X224" s="227"/>
      <c r="Y224" s="227"/>
      <c r="Z224" s="227"/>
    </row>
    <row r="225" spans="1:26" ht="16.8">
      <c r="A225" s="227"/>
      <c r="B225" s="227"/>
      <c r="C225" s="227"/>
      <c r="D225" s="227"/>
      <c r="E225" s="227"/>
      <c r="F225" s="227"/>
      <c r="G225" s="227"/>
      <c r="H225" s="227"/>
      <c r="I225" s="227"/>
      <c r="J225" s="227"/>
      <c r="K225" s="227"/>
      <c r="L225" s="227"/>
      <c r="M225" s="227"/>
      <c r="N225" s="227"/>
      <c r="O225" s="227"/>
      <c r="P225" s="227"/>
      <c r="Q225" s="227"/>
      <c r="R225" s="227"/>
      <c r="S225" s="227"/>
      <c r="T225" s="227"/>
      <c r="U225" s="227"/>
      <c r="V225" s="227"/>
      <c r="W225" s="227"/>
      <c r="X225" s="227"/>
      <c r="Y225" s="227"/>
      <c r="Z225" s="227"/>
    </row>
    <row r="226" spans="1:26" ht="16.8">
      <c r="A226" s="227"/>
      <c r="B226" s="227"/>
      <c r="C226" s="227"/>
      <c r="D226" s="227"/>
      <c r="E226" s="227"/>
      <c r="F226" s="227"/>
      <c r="G226" s="227"/>
      <c r="H226" s="227"/>
      <c r="I226" s="227"/>
      <c r="J226" s="227"/>
      <c r="K226" s="227"/>
      <c r="L226" s="227"/>
      <c r="M226" s="227"/>
      <c r="N226" s="227"/>
      <c r="O226" s="227"/>
      <c r="P226" s="227"/>
      <c r="Q226" s="227"/>
      <c r="R226" s="227"/>
      <c r="S226" s="227"/>
      <c r="T226" s="227"/>
      <c r="U226" s="227"/>
      <c r="V226" s="227"/>
      <c r="W226" s="227"/>
      <c r="X226" s="227"/>
      <c r="Y226" s="227"/>
      <c r="Z226" s="227"/>
    </row>
    <row r="227" spans="1:26" ht="16.8">
      <c r="A227" s="227"/>
      <c r="B227" s="227"/>
      <c r="C227" s="227"/>
      <c r="D227" s="227"/>
      <c r="E227" s="227"/>
      <c r="F227" s="227"/>
      <c r="G227" s="227"/>
      <c r="H227" s="227"/>
      <c r="I227" s="227"/>
      <c r="J227" s="227"/>
      <c r="K227" s="227"/>
      <c r="L227" s="227"/>
      <c r="M227" s="227"/>
      <c r="N227" s="227"/>
      <c r="O227" s="227"/>
      <c r="P227" s="227"/>
      <c r="Q227" s="227"/>
      <c r="R227" s="227"/>
      <c r="S227" s="227"/>
      <c r="T227" s="227"/>
      <c r="U227" s="227"/>
      <c r="V227" s="227"/>
      <c r="W227" s="227"/>
      <c r="X227" s="227"/>
      <c r="Y227" s="227"/>
      <c r="Z227" s="227"/>
    </row>
    <row r="228" spans="1:26" ht="16.8">
      <c r="A228" s="227"/>
      <c r="B228" s="227"/>
      <c r="C228" s="227"/>
      <c r="D228" s="227"/>
      <c r="E228" s="227"/>
      <c r="F228" s="227"/>
      <c r="G228" s="227"/>
      <c r="H228" s="227"/>
      <c r="I228" s="227"/>
      <c r="J228" s="227"/>
      <c r="K228" s="227"/>
      <c r="L228" s="227"/>
      <c r="M228" s="227"/>
      <c r="N228" s="227"/>
      <c r="O228" s="227"/>
      <c r="P228" s="227"/>
      <c r="Q228" s="227"/>
      <c r="R228" s="227"/>
      <c r="S228" s="227"/>
      <c r="T228" s="227"/>
      <c r="U228" s="227"/>
      <c r="V228" s="227"/>
      <c r="W228" s="227"/>
      <c r="X228" s="227"/>
      <c r="Y228" s="227"/>
      <c r="Z228" s="227"/>
    </row>
    <row r="229" spans="1:26" ht="16.8">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row>
    <row r="230" spans="1:26" ht="16.8">
      <c r="A230" s="226"/>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row>
    <row r="231" spans="1:26" ht="16.8">
      <c r="A231" s="227"/>
      <c r="B231" s="227"/>
      <c r="C231" s="227"/>
      <c r="D231" s="227"/>
      <c r="E231" s="227"/>
      <c r="F231" s="227"/>
      <c r="G231" s="227"/>
      <c r="H231" s="227"/>
      <c r="I231" s="227"/>
      <c r="J231" s="227"/>
      <c r="K231" s="227"/>
      <c r="L231" s="227"/>
      <c r="M231" s="227"/>
      <c r="N231" s="227"/>
      <c r="O231" s="227"/>
      <c r="P231" s="227"/>
      <c r="Q231" s="227"/>
      <c r="R231" s="227"/>
      <c r="S231" s="227"/>
      <c r="T231" s="227"/>
      <c r="U231" s="227"/>
      <c r="V231" s="227"/>
      <c r="W231" s="227"/>
      <c r="X231" s="227"/>
      <c r="Y231" s="227"/>
      <c r="Z231" s="227"/>
    </row>
    <row r="232" spans="1:26" ht="16.8">
      <c r="A232" s="227"/>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row>
    <row r="233" spans="1:26" ht="16.8">
      <c r="A233" s="227"/>
      <c r="B233" s="227"/>
      <c r="C233" s="227"/>
      <c r="D233" s="227"/>
      <c r="E233" s="227"/>
      <c r="F233" s="227"/>
      <c r="G233" s="227"/>
      <c r="H233" s="227"/>
      <c r="I233" s="227"/>
      <c r="J233" s="227"/>
      <c r="K233" s="227"/>
      <c r="L233" s="227"/>
      <c r="M233" s="227"/>
      <c r="N233" s="227"/>
      <c r="O233" s="227"/>
      <c r="P233" s="227"/>
      <c r="Q233" s="227"/>
      <c r="R233" s="227"/>
      <c r="S233" s="227"/>
      <c r="T233" s="227"/>
      <c r="U233" s="227"/>
      <c r="V233" s="227"/>
      <c r="W233" s="227"/>
      <c r="X233" s="227"/>
      <c r="Y233" s="227"/>
      <c r="Z233" s="227"/>
    </row>
    <row r="234" spans="1:26" ht="16.8">
      <c r="A234" s="227"/>
      <c r="B234" s="227"/>
      <c r="C234" s="227"/>
      <c r="D234" s="227"/>
      <c r="E234" s="227"/>
      <c r="F234" s="227"/>
      <c r="G234" s="227"/>
      <c r="H234" s="227"/>
      <c r="I234" s="227"/>
      <c r="J234" s="227"/>
      <c r="K234" s="227"/>
      <c r="L234" s="227"/>
      <c r="M234" s="227"/>
      <c r="N234" s="227"/>
      <c r="O234" s="227"/>
      <c r="P234" s="227"/>
      <c r="Q234" s="227"/>
      <c r="R234" s="227"/>
      <c r="S234" s="227"/>
      <c r="T234" s="227"/>
      <c r="U234" s="227"/>
      <c r="V234" s="227"/>
      <c r="W234" s="227"/>
      <c r="X234" s="227"/>
      <c r="Y234" s="227"/>
      <c r="Z234" s="227"/>
    </row>
    <row r="235" spans="1:26" ht="16.8">
      <c r="A235" s="227"/>
      <c r="B235" s="227"/>
      <c r="C235" s="227"/>
      <c r="D235" s="227"/>
      <c r="E235" s="227"/>
      <c r="F235" s="227"/>
      <c r="G235" s="227"/>
      <c r="H235" s="227"/>
      <c r="I235" s="227"/>
      <c r="J235" s="227"/>
      <c r="K235" s="227"/>
      <c r="L235" s="227"/>
      <c r="M235" s="227"/>
      <c r="N235" s="227"/>
      <c r="O235" s="227"/>
      <c r="P235" s="227"/>
      <c r="Q235" s="227"/>
      <c r="R235" s="227"/>
      <c r="S235" s="227"/>
      <c r="T235" s="227"/>
      <c r="U235" s="227"/>
      <c r="V235" s="227"/>
      <c r="W235" s="227"/>
      <c r="X235" s="227"/>
      <c r="Y235" s="227"/>
      <c r="Z235" s="227"/>
    </row>
    <row r="236" spans="1:26" ht="16.8">
      <c r="A236" s="230"/>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row>
    <row r="237" spans="1:26" ht="16.8">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row>
    <row r="238" spans="1:26" ht="16.8">
      <c r="A238" s="230"/>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row>
    <row r="239" spans="1:26" ht="16.8">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row>
    <row r="240" spans="1:26" ht="16.8">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row>
    <row r="241" spans="1:26" ht="16.8">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row>
    <row r="242" spans="1:26" ht="16.8">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row>
    <row r="243" spans="1:26" ht="16.8">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row>
    <row r="244" spans="1:26" ht="16.8">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row>
    <row r="245" spans="1:26" ht="16.8">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row>
    <row r="246" spans="1:26" ht="16.8">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row>
    <row r="247" spans="1:26" ht="16.8">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row>
    <row r="248" spans="1:26" ht="16.8">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row>
    <row r="249" spans="1:26" ht="16.8">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row>
    <row r="250" spans="1:26" ht="16.8">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row>
    <row r="251" spans="1:26" ht="16.8">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row>
    <row r="252" spans="1:26" ht="16.8">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row>
    <row r="253" spans="1:26" ht="16.8">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c r="Z253" s="227"/>
    </row>
    <row r="254" spans="1:26" ht="16.8">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row>
    <row r="255" spans="1:26" ht="16.8">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c r="Z255" s="227"/>
    </row>
    <row r="256" spans="1:26" ht="16.8">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row>
    <row r="257" spans="1:26" ht="16.8">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c r="Z257" s="227"/>
    </row>
    <row r="258" spans="1:26" ht="16.8">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row>
    <row r="259" spans="1:26" ht="16.8">
      <c r="A259" s="226"/>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c r="Z259" s="227"/>
    </row>
    <row r="260" spans="1:26" ht="16.8">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row>
    <row r="261" spans="1:26" ht="16.8">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c r="Z261" s="227"/>
    </row>
    <row r="262" spans="1:26" ht="16.8">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row>
    <row r="263" spans="1:26" ht="16.8">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c r="Z263" s="227"/>
    </row>
    <row r="264" spans="1:26" ht="16.8">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c r="Z264" s="227"/>
    </row>
    <row r="265" spans="1:26" ht="16.8">
      <c r="A265" s="230"/>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c r="Z265" s="227"/>
    </row>
    <row r="266" spans="1:26" ht="16.8">
      <c r="A266" s="227"/>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c r="Z266" s="227"/>
    </row>
    <row r="267" spans="1:26" ht="16.8">
      <c r="A267" s="230"/>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row>
    <row r="268" spans="1:26" ht="16.8">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row>
    <row r="269" spans="1:26" ht="16.8">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row>
    <row r="270" spans="1:26" ht="16.8">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row>
    <row r="271" spans="1:26" ht="16.8">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row>
    <row r="272" spans="1:26" ht="16.8">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row>
    <row r="273" spans="1:26" ht="16.8">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row>
    <row r="274" spans="1:26" ht="16.8">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row>
    <row r="275" spans="1:26" ht="16.8">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row>
    <row r="276" spans="1:26" ht="16.8">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row>
    <row r="277" spans="1:26" ht="16.8">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row>
    <row r="278" spans="1:26" ht="16.8">
      <c r="A278" s="226"/>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row>
    <row r="279" spans="1:26" ht="16.8">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row>
    <row r="280" spans="1:26" ht="16.8">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row>
    <row r="281" spans="1:26" ht="16.8">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row>
    <row r="282" spans="1:26" ht="16.8">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row>
    <row r="283" spans="1:26" ht="16.8">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row>
    <row r="284" spans="1:26" ht="16.8">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row>
    <row r="285" spans="1:26" ht="16.8">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row>
    <row r="286" spans="1:26" ht="16.8">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row>
    <row r="287" spans="1:26" ht="16.8">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row>
    <row r="288" spans="1:26" ht="16.8">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row>
    <row r="289" spans="1:26" ht="16.8">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row>
    <row r="290" spans="1:26" ht="16.8">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row>
    <row r="291" spans="1:26" ht="16.8">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row>
    <row r="292" spans="1:26" ht="16.8">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row>
    <row r="293" spans="1:26" ht="16.8">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row>
    <row r="294" spans="1:26" ht="16.8">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row>
    <row r="295" spans="1:26" ht="16.8">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row>
    <row r="296" spans="1:26" ht="16.8">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row>
    <row r="297" spans="1:26" ht="16.8">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row>
    <row r="298" spans="1:26" ht="16.8">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row>
    <row r="299" spans="1:26" ht="16.8">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row>
    <row r="300" spans="1:26" ht="16.8">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row>
    <row r="301" spans="1:26" ht="16.8">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row>
    <row r="302" spans="1:26" ht="16.8">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row>
  </sheetData>
  <mergeCells count="17">
    <mergeCell ref="B2:I2"/>
    <mergeCell ref="B3:B6"/>
    <mergeCell ref="C3:I3"/>
    <mergeCell ref="C4:I4"/>
    <mergeCell ref="C5:I5"/>
    <mergeCell ref="C6:I6"/>
    <mergeCell ref="C7:E7"/>
    <mergeCell ref="B11:I11"/>
    <mergeCell ref="B12:I12"/>
    <mergeCell ref="B19:E19"/>
    <mergeCell ref="F7:F8"/>
    <mergeCell ref="G7:I8"/>
    <mergeCell ref="C8:E8"/>
    <mergeCell ref="C9:E9"/>
    <mergeCell ref="F9:F10"/>
    <mergeCell ref="G9:I10"/>
    <mergeCell ref="C10:E10"/>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19</vt:i4>
      </vt:variant>
    </vt:vector>
  </HeadingPairs>
  <TitlesOfParts>
    <vt:vector size="19" baseType="lpstr">
      <vt:lpstr>Portada</vt:lpstr>
      <vt:lpstr>Portatil admid</vt:lpstr>
      <vt:lpstr>Ram portatil Admin</vt:lpstr>
      <vt:lpstr>Disco duro externo Portatil Adm</vt:lpstr>
      <vt:lpstr>Almacenamiento Portatil Admin</vt:lpstr>
      <vt:lpstr>Mouse Admin</vt:lpstr>
      <vt:lpstr>Portatil nosotros</vt:lpstr>
      <vt:lpstr>Almacenamiento nosotros</vt:lpstr>
      <vt:lpstr>RAM nosotros</vt:lpstr>
      <vt:lpstr>Mouse nosotros</vt:lpstr>
      <vt:lpstr>Disco duro externo nosotros</vt:lpstr>
      <vt:lpstr>windows 11 licencia</vt:lpstr>
      <vt:lpstr>Servicio Nube</vt:lpstr>
      <vt:lpstr>Ensamblaje</vt:lpstr>
      <vt:lpstr>ParaFiscales</vt:lpstr>
      <vt:lpstr>Plan de Inversion</vt:lpstr>
      <vt:lpstr>Gastos de Personal</vt:lpstr>
      <vt:lpstr>Costo del Proyecto</vt: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JUAN FELIPE LASPRILLA MARTINEZ</cp:lastModifiedBy>
  <dcterms:created xsi:type="dcterms:W3CDTF">2010-11-08T17:12:41Z</dcterms:created>
  <dcterms:modified xsi:type="dcterms:W3CDTF">2026-04-13T20:05:22Z</dcterms:modified>
</cp:coreProperties>
</file>