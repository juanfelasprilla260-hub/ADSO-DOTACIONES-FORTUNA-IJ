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elipe_Eth\Documents\"/>
    </mc:Choice>
  </mc:AlternateContent>
  <xr:revisionPtr revIDLastSave="0" documentId="13_ncr:1_{43C0D9AE-C80B-4CF8-8E7D-F1F7E7476A3A}" xr6:coauthVersionLast="47" xr6:coauthVersionMax="47" xr10:uidLastSave="{00000000-0000-0000-0000-000000000000}"/>
  <bookViews>
    <workbookView xWindow="-108" yWindow="-108" windowWidth="23256" windowHeight="12456" firstSheet="12" activeTab="17" xr2:uid="{00000000-000D-0000-FFFF-FFFF00000000}"/>
  </bookViews>
  <sheets>
    <sheet name="Portada" sheetId="1" r:id="rId1"/>
    <sheet name="Portatil admid" sheetId="2" r:id="rId2"/>
    <sheet name="Ram portatil Admin" sheetId="3" r:id="rId3"/>
    <sheet name="Disco duro externo Portatil Adm" sheetId="5" r:id="rId4"/>
    <sheet name="Almacenamiento Portatil Admin" sheetId="4" r:id="rId5"/>
    <sheet name="Mouse Admin" sheetId="6" r:id="rId6"/>
    <sheet name="Portatil nosotros" sheetId="7" r:id="rId7"/>
    <sheet name="Almacenamiento nosotros" sheetId="8" r:id="rId8"/>
    <sheet name="RAM nosotros" sheetId="9" r:id="rId9"/>
    <sheet name="Mouse nosotros" sheetId="10" r:id="rId10"/>
    <sheet name="Disco duro externo nosotros" sheetId="11" r:id="rId11"/>
    <sheet name="windows 11 licencia" sheetId="12" r:id="rId12"/>
    <sheet name="Servicio Nube" sheetId="13" r:id="rId13"/>
    <sheet name="Ensamblaje" sheetId="14" r:id="rId14"/>
    <sheet name="ParaFiscales" sheetId="15" r:id="rId15"/>
    <sheet name="Plan de Inversion" sheetId="16" r:id="rId16"/>
    <sheet name="Gastos de Personal" sheetId="17" r:id="rId17"/>
    <sheet name="Costo del Proyecto" sheetId="19" r:id="rId18"/>
    <sheet name="Consolidado" sheetId="18"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VkXk1Fm5aqwthT+kHNu/7P4uZX9P/PQxltUV2buTJ1Q="/>
    </ext>
  </extLst>
</workbook>
</file>

<file path=xl/calcChain.xml><?xml version="1.0" encoding="utf-8"?>
<calcChain xmlns="http://schemas.openxmlformats.org/spreadsheetml/2006/main">
  <c r="C9" i="19" l="1"/>
  <c r="C10" i="19"/>
  <c r="C11" i="19" l="1"/>
  <c r="I16" i="17" l="1"/>
  <c r="H16" i="17"/>
  <c r="G16" i="17"/>
  <c r="F16" i="17"/>
  <c r="D16" i="17"/>
  <c r="H15" i="18"/>
  <c r="H16" i="18"/>
  <c r="H14" i="18"/>
  <c r="H18" i="18"/>
  <c r="H17" i="18"/>
  <c r="H19" i="18"/>
  <c r="G19" i="18"/>
  <c r="F19" i="18"/>
  <c r="K11" i="17"/>
  <c r="C11" i="17"/>
  <c r="I10" i="17"/>
  <c r="F10" i="17"/>
  <c r="E10" i="17"/>
  <c r="G10" i="17" s="1"/>
  <c r="I9" i="17"/>
  <c r="F9" i="17"/>
  <c r="G9" i="17" s="1"/>
  <c r="E9" i="17"/>
  <c r="L7" i="17"/>
  <c r="I7" i="17"/>
  <c r="H7" i="17"/>
  <c r="J7" i="17" s="1"/>
  <c r="G7" i="17"/>
  <c r="F7" i="17"/>
  <c r="E7" i="17"/>
  <c r="I6" i="17"/>
  <c r="H6" i="17"/>
  <c r="F6" i="17"/>
  <c r="E6" i="17"/>
  <c r="L6" i="17" s="1"/>
  <c r="I5" i="17"/>
  <c r="H5" i="17"/>
  <c r="F5" i="17"/>
  <c r="E5" i="17"/>
  <c r="L5" i="17" s="1"/>
  <c r="I4" i="17"/>
  <c r="H4" i="17"/>
  <c r="F4" i="17"/>
  <c r="E4" i="17"/>
  <c r="G4" i="17" s="1"/>
  <c r="F35" i="16"/>
  <c r="F34" i="16"/>
  <c r="F33" i="16"/>
  <c r="F32" i="16"/>
  <c r="F31" i="16"/>
  <c r="F30" i="16"/>
  <c r="F29" i="16"/>
  <c r="F28" i="16"/>
  <c r="F27" i="16"/>
  <c r="F21" i="16"/>
  <c r="F20" i="16"/>
  <c r="F19" i="16"/>
  <c r="F18" i="16"/>
  <c r="F17" i="16"/>
  <c r="F16" i="16"/>
  <c r="F15" i="16"/>
  <c r="F14" i="16"/>
  <c r="F13" i="16"/>
  <c r="F7" i="16"/>
  <c r="F6" i="16"/>
  <c r="F5" i="16"/>
  <c r="F4" i="16"/>
  <c r="F27" i="15"/>
  <c r="C27" i="15"/>
  <c r="G26" i="15"/>
  <c r="H26" i="15" s="1"/>
  <c r="C26" i="15"/>
  <c r="G25" i="15"/>
  <c r="H25" i="15" s="1"/>
  <c r="C25" i="15"/>
  <c r="G24" i="15"/>
  <c r="H24" i="15" s="1"/>
  <c r="G23" i="15"/>
  <c r="H23" i="15" s="1"/>
  <c r="G22" i="15"/>
  <c r="H22" i="15" s="1"/>
  <c r="C17" i="15"/>
  <c r="C11" i="15"/>
  <c r="C6" i="15"/>
  <c r="F11" i="17" l="1"/>
  <c r="G6" i="17"/>
  <c r="I11" i="17"/>
  <c r="J6" i="17"/>
  <c r="G5" i="17"/>
  <c r="J5" i="17"/>
  <c r="F8" i="16"/>
  <c r="I3" i="16" s="1"/>
  <c r="F22" i="16"/>
  <c r="I4" i="16" s="1"/>
  <c r="F36" i="16"/>
  <c r="I5" i="16" s="1"/>
  <c r="G27" i="15"/>
  <c r="H27" i="15"/>
  <c r="G11" i="17"/>
  <c r="J4" i="17"/>
  <c r="H10" i="17"/>
  <c r="L4" i="17"/>
  <c r="H9" i="17"/>
  <c r="E11" i="17"/>
  <c r="I6" i="16" l="1"/>
  <c r="J9" i="17"/>
  <c r="L9" i="17"/>
  <c r="H11" i="17"/>
  <c r="L10" i="17"/>
  <c r="L11" i="17" s="1"/>
  <c r="J10" i="17"/>
  <c r="J11" i="1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<sst xmlns="http://schemas.openxmlformats.org/spreadsheetml/2006/main" count="985" uniqueCount="602">
  <si>
    <t xml:space="preserve">Elaboración Propuesta Fichas Técnicas Proyecto CheerClick Systems </t>
  </si>
  <si>
    <t xml:space="preserve">Integrantes: </t>
  </si>
  <si>
    <t>Roles del club deportivo: Administrador, Entrenador, Cliente.</t>
  </si>
  <si>
    <t>ADSO - 3354284</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</si>
  <si>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</si>
  <si>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</si>
  <si>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</si>
  <si>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</si>
  <si>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</si>
  <si>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</si>
  <si>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</si>
  <si>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</si>
  <si>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</si>
  <si>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</si>
  <si>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</si>
  <si>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t>Garantía</t>
  </si>
  <si>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</si>
  <si>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</si>
  <si>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PORTATIL LENOVO - V14 G4 AMN </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</si>
  <si>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</si>
  <si>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</si>
  <si>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</si>
  <si>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</si>
  <si>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</si>
  <si>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</si>
  <si>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</si>
  <si>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</si>
  <si>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</si>
  <si>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</si>
  <si>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</si>
  <si>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</si>
  <si>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453,64</t>
  </si>
  <si>
    <t>Portatil Lenovo V14 G4 AMN AMD Ryzen 5 7520U 16gb 512gb Fhd 14 Color Gris</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</si>
  <si>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</si>
  <si>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</si>
  <si>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</si>
  <si>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</si>
  <si>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</si>
  <si>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</si>
  <si>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</si>
  <si>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</si>
  <si>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</si>
  <si>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</si>
  <si>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</si>
  <si>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</si>
  <si>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</si>
  <si>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</si>
  <si>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</si>
  <si>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</si>
  <si>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</si>
  <si>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</si>
  <si>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</si>
  <si>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</si>
  <si>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</si>
  <si>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</si>
  <si>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</si>
  <si>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</si>
  <si>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</si>
  <si>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</si>
  <si>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</si>
  <si>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</si>
  <si>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</si>
  <si>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</si>
  <si>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</si>
  <si>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</si>
  <si>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</si>
  <si>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</si>
  <si>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</si>
  <si>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</si>
  <si>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</si>
  <si>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</si>
  <si>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</si>
  <si>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</si>
  <si>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</si>
  <si>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</si>
  <si>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94,74</t>
  </si>
  <si>
    <t>Hiksemi M2 Pcie Nvme 512Gb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</si>
  <si>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</si>
  <si>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</si>
  <si>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</si>
  <si>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</si>
  <si>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</si>
  <si>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</si>
  <si>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</si>
  <si>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</si>
  <si>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</si>
  <si>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</si>
  <si>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</si>
  <si>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</si>
  <si>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</si>
  <si>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</si>
  <si>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</si>
  <si>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Ktronix</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</si>
  <si>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</si>
  <si>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</si>
  <si>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</si>
  <si>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</si>
  <si>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</si>
  <si>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El disco duro portátil Canvio Ready de Toshiba ofrece 1TB de almacenamiento, funcionamiento plug and play y un diseño compacto y elegante, permitiendo guardar archivos fácilmente con solo arrastrar y soltar.</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</si>
  <si>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</si>
  <si>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</si>
  <si>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</si>
  <si>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</si>
  <si>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</si>
  <si>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</si>
  <si>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</si>
  <si>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</si>
  <si>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</si>
  <si>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</si>
  <si>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</si>
  <si>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</si>
  <si>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</si>
  <si>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</si>
  <si>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</si>
  <si>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</si>
  <si>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</si>
  <si>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</si>
  <si>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</si>
  <si>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</si>
  <si>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</si>
  <si>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</si>
  <si>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rPr>
      <t>Empresa</t>
    </r>
    <r>
      <rPr>
        <i/>
        <sz val="10"/>
        <color theme="1"/>
        <rFont val="Arial"/>
      </rPr>
      <t xml:space="preserve">
(Nombre fiscal de la empresa)</t>
    </r>
  </si>
  <si>
    <r>
      <rPr>
        <b/>
        <sz val="10"/>
        <color theme="1"/>
        <rFont val="Arial"/>
      </rPr>
      <t>Nº de CUIT, Dirección, Teléfono</t>
    </r>
    <r>
      <rPr>
        <i/>
        <sz val="10"/>
        <color theme="1"/>
        <rFont val="Arial"/>
      </rPr>
      <t xml:space="preserve">
(Datos de la empresa)</t>
    </r>
  </si>
  <si>
    <r>
      <rPr>
        <b/>
        <sz val="10"/>
        <color theme="1"/>
        <rFont val="Arial"/>
      </rPr>
      <t>Descripción del
bien/ servicio (b)</t>
    </r>
    <r>
      <rPr>
        <i/>
        <sz val="10"/>
        <color theme="1"/>
        <rFont val="Arial"/>
      </rPr>
      <t xml:space="preserve">
Características de los bienes/ servicios</t>
    </r>
  </si>
  <si>
    <r>
      <rPr>
        <b/>
        <sz val="10"/>
        <color theme="1"/>
        <rFont val="Arial"/>
      </rPr>
      <t xml:space="preserve">Importe Unitario
</t>
    </r>
    <r>
      <rPr>
        <i/>
        <sz val="10"/>
        <color theme="1"/>
        <rFont val="Arial"/>
      </rPr>
      <t>(moneda nacional)</t>
    </r>
  </si>
  <si>
    <r>
      <rPr>
        <b/>
        <u/>
        <sz val="10"/>
        <color theme="1"/>
        <rFont val="Arial"/>
      </rPr>
      <t xml:space="preserve">Importe Total
 IVA incluido
</t>
    </r>
    <r>
      <rPr>
        <i/>
        <u/>
        <sz val="10"/>
        <color theme="1"/>
        <rFont val="Arial"/>
      </rPr>
      <t>(moneda nacional)</t>
    </r>
  </si>
  <si>
    <r>
      <rPr>
        <b/>
        <sz val="10"/>
        <color theme="1"/>
        <rFont val="Arial"/>
      </rPr>
      <t xml:space="preserve">Importe Total
</t>
    </r>
    <r>
      <rPr>
        <i/>
        <sz val="10"/>
        <color theme="1"/>
        <rFont val="Arial"/>
      </rPr>
      <t>(moneda extranjera)</t>
    </r>
  </si>
  <si>
    <r>
      <rPr>
        <b/>
        <sz val="10"/>
        <color theme="1"/>
        <rFont val="Arial"/>
      </rPr>
      <t xml:space="preserve">Forma de Pago 
</t>
    </r>
    <r>
      <rPr>
        <i/>
        <sz val="10"/>
        <color theme="1"/>
        <rFont val="Arial"/>
      </rPr>
      <t>(Contado o Cheque)</t>
    </r>
  </si>
  <si>
    <r>
      <rPr>
        <b/>
        <sz val="10"/>
        <color theme="1"/>
        <rFont val="Arial"/>
      </rPr>
      <t xml:space="preserve">Observaciones </t>
    </r>
    <r>
      <rPr>
        <i/>
        <sz val="10"/>
        <color theme="1"/>
        <rFont val="Arial"/>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</si>
  <si>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</si>
  <si>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 xml:space="preserve">Portátil ASUS VivoBook 15 </t>
  </si>
  <si>
    <t>542,23</t>
  </si>
  <si>
    <t>El ASUS Vivobook M1502YA ofrece Ryzen 7, 16 GB de RAM, SSD de 512 GB y pantalla 15.6″ Full HD.</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</si>
  <si>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</si>
  <si>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</si>
  <si>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</si>
  <si>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</si>
  <si>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609,98</t>
  </si>
  <si>
    <t>Ryzen 7 7730U, 16 GB RAM, SSD 512 GB, pantalla 15.6″ Full HD, gráficos Radeon, Windows 11 Home, lector de huella y certificación MIL-STD 810H</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</si>
  <si>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</si>
  <si>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</si>
  <si>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</si>
  <si>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</si>
  <si>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</si>
  <si>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</si>
  <si>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</si>
  <si>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</si>
  <si>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</si>
  <si>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</si>
  <si>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</si>
  <si>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</si>
  <si>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</si>
  <si>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</si>
  <si>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</si>
  <si>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</si>
  <si>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</si>
  <si>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</si>
  <si>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</si>
  <si>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</si>
  <si>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</si>
  <si>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</si>
  <si>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</si>
  <si>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</si>
  <si>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</si>
  <si>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</si>
  <si>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</si>
  <si>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</si>
  <si>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</si>
  <si>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</si>
  <si>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</si>
  <si>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</si>
  <si>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</si>
  <si>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</si>
  <si>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</si>
  <si>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</si>
  <si>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</si>
  <si>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</si>
  <si>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</si>
  <si>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</si>
  <si>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</si>
  <si>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</si>
  <si>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</si>
  <si>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</si>
  <si>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</si>
  <si>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</si>
  <si>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</si>
  <si>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</si>
  <si>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</si>
  <si>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</si>
  <si>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</si>
  <si>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</si>
  <si>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</si>
  <si>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</si>
  <si>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</si>
  <si>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</si>
  <si>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</si>
  <si>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</si>
  <si>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</si>
  <si>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</si>
  <si>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</si>
  <si>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</si>
  <si>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</si>
  <si>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</si>
  <si>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</si>
  <si>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</si>
  <si>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</si>
  <si>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</si>
  <si>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</si>
  <si>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</si>
  <si>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</si>
  <si>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</si>
  <si>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</si>
  <si>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</si>
  <si>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</si>
  <si>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</si>
  <si>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</si>
  <si>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</si>
  <si>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</si>
  <si>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</si>
  <si>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</si>
  <si>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</si>
  <si>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</si>
  <si>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</si>
  <si>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</si>
  <si>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</si>
  <si>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</si>
  <si>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</si>
  <si>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</si>
  <si>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</si>
  <si>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</si>
  <si>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</si>
  <si>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</si>
  <si>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</si>
  <si>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</si>
  <si>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</si>
  <si>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</si>
  <si>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</si>
  <si>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</si>
  <si>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</si>
  <si>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</si>
  <si>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</si>
  <si>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</si>
  <si>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t>
  </si>
  <si>
    <t>Google Colombia Service S.A.S.</t>
  </si>
  <si>
    <t>https://cloud.google.com/appengine/pricing?hl=es</t>
  </si>
  <si>
    <t>Instancia Tipo B1 (Escalado Básico).</t>
  </si>
  <si>
    <t xml:space="preserve">128 MB RAM, 600 MHz CPU, incluye 9 horas gratis al día por proyecto. </t>
  </si>
  <si>
    <t>Servicio DBaas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</si>
  <si>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</si>
  <si>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</si>
  <si>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</si>
  <si>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</si>
  <si>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</si>
  <si>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</si>
  <si>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</si>
  <si>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</si>
  <si>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</si>
  <si>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</si>
  <si>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</si>
  <si>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</si>
  <si>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</si>
  <si>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</si>
  <si>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</si>
  <si>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</si>
  <si>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</si>
  <si>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</si>
  <si>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</si>
  <si>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</si>
  <si>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</si>
  <si>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</si>
  <si>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</si>
  <si>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</si>
  <si>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</si>
  <si>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</si>
  <si>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</si>
  <si>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</si>
  <si>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</si>
  <si>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</si>
  <si>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</si>
  <si>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</si>
  <si>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</si>
  <si>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</si>
  <si>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</si>
  <si>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</si>
  <si>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</si>
  <si>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</si>
  <si>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</si>
  <si>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</si>
  <si>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</si>
  <si>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</si>
  <si>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</si>
  <si>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</si>
  <si>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</si>
  <si>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</si>
  <si>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</si>
  <si>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</si>
  <si>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</si>
  <si>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</si>
  <si>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</si>
  <si>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</si>
  <si>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</si>
  <si>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</si>
  <si>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</si>
  <si>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</si>
  <si>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</si>
  <si>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</si>
  <si>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</si>
  <si>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</si>
  <si>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</si>
  <si>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</si>
  <si>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</si>
  <si>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</si>
  <si>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</si>
  <si>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</si>
  <si>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</si>
  <si>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</si>
  <si>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</si>
  <si>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</si>
  <si>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</si>
  <si>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</si>
  <si>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</si>
  <si>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</si>
  <si>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</si>
  <si>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</si>
  <si>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</si>
  <si>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</si>
  <si>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</si>
  <si>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</si>
  <si>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</si>
  <si>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</si>
  <si>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</si>
  <si>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</si>
  <si>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</si>
  <si>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</si>
  <si>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</si>
  <si>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</si>
  <si>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</si>
  <si>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</si>
  <si>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</si>
  <si>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</si>
  <si>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</si>
  <si>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</si>
  <si>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</si>
  <si>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</si>
  <si>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</si>
  <si>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</si>
  <si>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</si>
  <si>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</si>
  <si>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</si>
  <si>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</si>
  <si>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</si>
  <si>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</si>
  <si>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</si>
  <si>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</si>
  <si>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</si>
  <si>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</si>
  <si>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</si>
  <si>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</si>
  <si>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</si>
  <si>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</si>
  <si>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</si>
  <si>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</si>
  <si>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</si>
  <si>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</si>
  <si>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</si>
  <si>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</si>
  <si>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</si>
  <si>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</si>
  <si>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</si>
  <si>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</si>
  <si>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</si>
  <si>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</si>
  <si>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</si>
  <si>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</si>
  <si>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</si>
  <si>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</si>
  <si>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</si>
  <si>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</si>
  <si>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</si>
  <si>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</si>
  <si>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</si>
  <si>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</si>
  <si>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</si>
  <si>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</si>
  <si>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</si>
  <si>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</si>
  <si>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</si>
  <si>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</si>
  <si>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</si>
  <si>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</si>
  <si>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</si>
  <si>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</si>
  <si>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</si>
  <si>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RAM</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</si>
  <si>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</si>
  <si>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</si>
  <si>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</si>
  <si>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</si>
  <si>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</si>
  <si>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</si>
  <si>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</si>
  <si>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</si>
  <si>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SSD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</si>
  <si>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</si>
  <si>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</si>
  <si>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</si>
  <si>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</si>
  <si>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</si>
  <si>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</si>
  <si>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</si>
  <si>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</si>
  <si>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</si>
  <si>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</si>
  <si>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</si>
  <si>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</si>
  <si>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</si>
  <si>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</si>
  <si>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</si>
  <si>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</si>
  <si>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</si>
  <si>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</si>
  <si>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</si>
  <si>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</si>
  <si>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</si>
  <si>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</si>
  <si>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</si>
  <si>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</si>
  <si>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</si>
  <si>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</si>
  <si>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</si>
  <si>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</si>
  <si>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</si>
  <si>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</si>
  <si>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</si>
  <si>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</si>
  <si>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</si>
  <si>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</si>
  <si>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</si>
  <si>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</si>
  <si>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</si>
  <si>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</si>
  <si>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</si>
  <si>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</si>
  <si>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</si>
  <si>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</si>
  <si>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</si>
  <si>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</si>
  <si>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</si>
  <si>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</si>
  <si>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</si>
  <si>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</si>
  <si>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</si>
  <si>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</si>
  <si>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</si>
  <si>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</si>
  <si>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</si>
  <si>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</si>
  <si>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</si>
  <si>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</si>
  <si>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</si>
  <si>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</si>
  <si>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</si>
  <si>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</si>
  <si>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</si>
  <si>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</si>
  <si>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</si>
  <si>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</si>
  <si>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</si>
  <si>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</si>
  <si>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</si>
  <si>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</si>
  <si>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</si>
  <si>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</si>
  <si>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</si>
  <si>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</si>
  <si>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</si>
  <si>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</si>
  <si>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</si>
  <si>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</si>
  <si>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</si>
  <si>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</si>
  <si>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</si>
  <si>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</si>
  <si>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</si>
  <si>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</si>
  <si>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</si>
  <si>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</si>
  <si>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</si>
  <si>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</si>
  <si>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</si>
  <si>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</si>
  <si>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</si>
  <si>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</si>
  <si>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</si>
  <si>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</si>
  <si>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</si>
  <si>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</si>
  <si>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</si>
  <si>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</si>
  <si>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</si>
  <si>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</si>
  <si>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</si>
  <si>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</si>
  <si>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</si>
  <si>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</si>
  <si>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</si>
  <si>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</si>
  <si>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</si>
  <si>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</si>
  <si>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</si>
  <si>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</si>
  <si>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</si>
  <si>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Suscripción PaaS (Azure)</t>
  </si>
  <si>
    <t>Internet</t>
  </si>
  <si>
    <t>Total Empresa</t>
  </si>
  <si>
    <t>Total Empleado</t>
  </si>
  <si>
    <t>Totales</t>
  </si>
  <si>
    <t>Activos Fijos</t>
  </si>
  <si>
    <t>Plan de Inversion</t>
  </si>
  <si>
    <t>Descripcion</t>
  </si>
  <si>
    <t>Unidad Medida</t>
  </si>
  <si>
    <t>Cantidad</t>
  </si>
  <si>
    <t>Valor Unitario</t>
  </si>
  <si>
    <t>Muebles y Enseres</t>
  </si>
  <si>
    <t>Maquinaria y Equipo</t>
  </si>
  <si>
    <t>Escritorio para Oficina</t>
  </si>
  <si>
    <t>Unidad</t>
  </si>
  <si>
    <t>Silla Ergonómica de Oficina</t>
  </si>
  <si>
    <t>Canecas de Basura</t>
  </si>
  <si>
    <t>Requerimiento de Personal</t>
  </si>
  <si>
    <t>Subsidio de Transporte</t>
  </si>
  <si>
    <t>Total a Pagar</t>
  </si>
  <si>
    <t>Cargo</t>
  </si>
  <si>
    <t>Sueldo Mensual</t>
  </si>
  <si>
    <t>Dias Laborados</t>
  </si>
  <si>
    <t>Aprendiz</t>
  </si>
  <si>
    <t>Cotización</t>
  </si>
  <si>
    <t>Admistrador:</t>
  </si>
  <si>
    <t>Número de cotización:</t>
  </si>
  <si>
    <t xml:space="preserve">V.3 </t>
  </si>
  <si>
    <t>Número de teléfono del cliente:</t>
  </si>
  <si>
    <t>Persona de contacto:</t>
  </si>
  <si>
    <t>Fecha de cotización:</t>
  </si>
  <si>
    <t>Dirección del cliente:</t>
  </si>
  <si>
    <t>1. Equipos de computo para el administrador</t>
  </si>
  <si>
    <t>2. Equipos de computo para el equipo de desarrollo del sistema (CheerClick Systems)</t>
  </si>
  <si>
    <t>Tipo</t>
  </si>
  <si>
    <t>Nombre del árticulo</t>
  </si>
  <si>
    <t>Proveedor</t>
  </si>
  <si>
    <t>Precio unitario</t>
  </si>
  <si>
    <t>IVA</t>
  </si>
  <si>
    <t>Precio final</t>
  </si>
  <si>
    <t>Argumentación</t>
  </si>
  <si>
    <t>Portatil Administrador</t>
  </si>
  <si>
    <t>Se asegurar la productividad del administrador. Un equipo con estas especificaciones aumenta el redimiento de las operaciones a realizar.</t>
  </si>
  <si>
    <t>Portatil Equipo</t>
  </si>
  <si>
    <t>Se trata solo de asegurar la productividad del colaborador. Un equipo con especificaciones actuales reduce los tiempos de espera y el agotamiento del soporte técnico.</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</si>
  <si>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</si>
  <si>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</si>
  <si>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</si>
  <si>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</si>
  <si>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</si>
  <si>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</si>
  <si>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TOTAL</t>
  </si>
  <si>
    <t>Dilan Rodriguez, Antony Cardenas, Brayan Corpa, Felipe Lasprilla</t>
  </si>
  <si>
    <t>Computador Portátil LENOVO Ideapad Slim 3 - 15.3" Pulgadas 15HP10 - AMD Ryzen 5 - RAM 24GB - Disco SSD 512GB - Azul</t>
  </si>
  <si>
    <t>https://www.ktronix.com/computador-portatil-lenovo-ideapad-slim-3-153-pulgadas/p/198155958762</t>
  </si>
  <si>
    <t>Portátil Lenovo V14 G4 Ryzen 5 7520U 16Gb Ram 512Gb Ssd 14 Pulgadas Fhd</t>
  </si>
  <si>
    <t>Portátil ASUS VivoBook 15 Ryzen 7 5825U 16GB RAM 512GB SSD 15.6” FHD</t>
  </si>
  <si>
    <t>Lenovo V15 G4 15.6 Core I5 13a Generación 16gb Ssd 1tb</t>
  </si>
  <si>
    <t>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t>
  </si>
  <si>
    <t>Portátil ASUS Vivobook 15 (M1502YA-NJ180W)</t>
  </si>
  <si>
    <t>Suscripción AWS</t>
  </si>
  <si>
    <t>Máquina de coser industrial</t>
  </si>
  <si>
    <t xml:space="preserve">Unidad </t>
  </si>
  <si>
    <t>Mesa de corte</t>
  </si>
  <si>
    <t>Estanterías</t>
  </si>
  <si>
    <t>Equipo de Computo</t>
  </si>
  <si>
    <t>Impresora</t>
  </si>
  <si>
    <t xml:space="preserve">Corel Draw </t>
  </si>
  <si>
    <t>Nombres: Brayan Corpa, Dilan Rodriguez, Antony Cardenas, Samuel Peña, Felipe Lasprilla</t>
  </si>
  <si>
    <t>Tel: 3150410649</t>
  </si>
  <si>
    <t>Correo: Juanfelasprilla60@gmail.com</t>
  </si>
  <si>
    <t>Harold linares</t>
  </si>
  <si>
    <t>Camila Sanchez</t>
  </si>
  <si>
    <t>Servicios AWS</t>
  </si>
  <si>
    <t>Amazon Web Services</t>
  </si>
  <si>
    <t>cra 68 # 35 a sur 26</t>
  </si>
  <si>
    <t>Nombre del proyecto: Dotaciones Fortuna IJ</t>
  </si>
  <si>
    <t>DURACION PROYECTO</t>
  </si>
  <si>
    <t>GASTOS EN PERSONAL</t>
  </si>
  <si>
    <t>VALOR</t>
  </si>
  <si>
    <t>CANTIDAD</t>
  </si>
  <si>
    <t>SALUD</t>
  </si>
  <si>
    <t>PENSION</t>
  </si>
  <si>
    <t>ST</t>
  </si>
  <si>
    <t>8 MESES MAXIMO</t>
  </si>
  <si>
    <t>Costo Inicial del Proyecto</t>
  </si>
  <si>
    <t>Plan de Inversión</t>
  </si>
  <si>
    <t>Gastos de Personal</t>
  </si>
  <si>
    <t>Parafiscales</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</si>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</sst>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 #,##0.00_-;\-&quot;$&quot;\ * #,##0.00_-;_-&quot;$&quot;\ * &quot;-&quot;??_-;_-@_-"/>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240A]\ * #,##0.00_-;\-[$$-240A]\ * #,##0.00_-;_-[$$-240A]\ * &quot;-&quot;??.0_-;_-@"/>
    <numFmt numFmtId="173" formatCode="_-&quot;$&quot;\ * #,##0.00_-;\-&quot;$&quot;\ * #,##0.00_-;_-&quot;$&quot;\ * &quot;-&quot;??_-;_-@"/>
    <numFmt numFmtId="174" formatCode="&quot;$&quot;#,##0.000"/>
  </numFmts>
  <fonts count="86">
    <font>
      <sz val="10"/>
      <color rgb="FF000000"/>
      <name val="Arial"/>
      <scheme val="minor"/>
    </font>
    <font>
      <sz val="10"/>
      <color rgb="FF000000"/>
      <name val="Arial"/>
    </font>
    <font>
      <b/>
      <sz val="25"/>
      <color rgb="FF000000"/>
      <name val="Times New Roman"/>
    </font>
    <font>
      <sz val="10"/>
      <name val="Arial"/>
    </font>
    <font>
      <sz val="23"/>
      <color rgb="FF000000"/>
      <name val="Times New Roman"/>
    </font>
    <font>
      <sz val="25"/>
      <color rgb="FF000000"/>
      <name val="Times New Roman"/>
    </font>
    <font>
      <sz val="24"/>
      <color rgb="FF000000"/>
      <name val="Times New Roman"/>
    </font>
    <font>
      <sz val="10"/>
      <color theme="1"/>
      <name val="Arial"/>
    </font>
    <font>
      <b/>
      <sz val="12"/>
      <color theme="1"/>
      <name val="Arial"/>
    </font>
    <font>
      <b/>
      <sz val="10"/>
      <color theme="1"/>
      <name val="Arial"/>
    </font>
    <font>
      <b/>
      <sz val="10"/>
      <color theme="1"/>
      <name val="Trebuchet MS"/>
    </font>
    <font>
      <b/>
      <u/>
      <sz val="10"/>
      <color theme="1"/>
      <name val="Trebuchet MS"/>
    </font>
    <font>
      <i/>
      <sz val="10"/>
      <color theme="1"/>
      <name val="Arial"/>
    </font>
    <font>
      <sz val="10"/>
      <color rgb="FF000000"/>
      <name val="Trebuchet MS"/>
    </font>
    <font>
      <u/>
      <sz val="10"/>
      <color rgb="FF0000FF"/>
      <name val="Arial"/>
    </font>
    <font>
      <sz val="10"/>
      <color theme="1"/>
      <name val="Trebuchet MS"/>
    </font>
    <font>
      <sz val="10"/>
      <color theme="1"/>
      <name val="Proxima Nova"/>
    </font>
    <font>
      <sz val="10"/>
      <color rgb="FF231F20"/>
      <name val="Trebuchet MS"/>
    </font>
    <font>
      <u/>
      <sz val="10"/>
      <color theme="10"/>
      <name val="Arial"/>
    </font>
    <font>
      <sz val="10"/>
      <color theme="1"/>
      <name val="Open Sans"/>
    </font>
    <font>
      <sz val="10"/>
      <color theme="1"/>
      <name val="Montserrat"/>
    </font>
    <font>
      <sz val="10"/>
      <color theme="1"/>
      <name val="Arial Narrow"/>
    </font>
    <font>
      <b/>
      <u/>
      <sz val="10"/>
      <color theme="1"/>
      <name val="Trebuchet MS"/>
    </font>
    <font>
      <sz val="10"/>
      <color rgb="FF231F20"/>
      <name val="Arial"/>
    </font>
    <font>
      <b/>
      <u/>
      <sz val="10"/>
      <color theme="1"/>
      <name val="Trebuchet MS"/>
    </font>
    <font>
      <sz val="10"/>
      <color rgb="FF000000"/>
      <name val="Almarai"/>
    </font>
    <font>
      <sz val="11"/>
      <color rgb="FF000000"/>
      <name val="Proxima Nova"/>
    </font>
    <font>
      <sz val="10"/>
      <color rgb="FF0F1111"/>
      <name val="Arial"/>
    </font>
    <font>
      <u/>
      <sz val="10"/>
      <color theme="10"/>
      <name val="Arial"/>
    </font>
    <font>
      <sz val="10"/>
      <color rgb="FF333333"/>
      <name val="Lato"/>
    </font>
    <font>
      <sz val="10"/>
      <color theme="1"/>
      <name val="Arial"/>
    </font>
    <font>
      <b/>
      <u/>
      <sz val="10"/>
      <color theme="1"/>
      <name val="Arial"/>
    </font>
    <font>
      <u/>
      <sz val="10"/>
      <color rgb="FF0000FF"/>
      <name val="Arial"/>
    </font>
    <font>
      <u/>
      <sz val="10"/>
      <color rgb="FF0000FF"/>
      <name val="Arial"/>
    </font>
    <font>
      <sz val="10"/>
      <color rgb="FF444444"/>
      <name val="Arial"/>
    </font>
    <font>
      <u/>
      <sz val="10"/>
      <color rgb="FF0000FF"/>
      <name val="Arial"/>
    </font>
    <font>
      <b/>
      <sz val="10"/>
      <color theme="1"/>
      <name val="Arial"/>
      <scheme val="minor"/>
    </font>
    <font>
      <u/>
      <sz val="10"/>
      <color rgb="FF0000FF"/>
      <name val="Arial"/>
    </font>
    <font>
      <u/>
      <sz val="10"/>
      <color rgb="FF0000FF"/>
      <name val="Arial"/>
    </font>
    <font>
      <u/>
      <sz val="10"/>
      <color rgb="FF0000FF"/>
      <name val="Arial"/>
    </font>
    <font>
      <b/>
      <sz val="10"/>
      <color theme="1"/>
      <name val="Arial"/>
    </font>
    <font>
      <b/>
      <sz val="10"/>
      <color theme="1"/>
      <name val="Trebuchet MS"/>
    </font>
    <font>
      <b/>
      <u/>
      <sz val="10"/>
      <color theme="1"/>
      <name val="Trebuchet MS"/>
    </font>
    <font>
      <u/>
      <sz val="10"/>
      <color rgb="FF0000FF"/>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1"/>
      <color theme="1"/>
      <name val="Calibri"/>
    </font>
    <font>
      <sz val="11"/>
      <color theme="1"/>
      <name val="Calibri"/>
    </font>
    <font>
      <sz val="10"/>
      <color rgb="FF1F1F1F"/>
      <name val="&quot;Google Sans Text&quot;"/>
    </font>
    <font>
      <b/>
      <sz val="10"/>
      <color rgb="FF1F1F1F"/>
      <name val="&quot;Google Sans Text&quot;"/>
    </font>
    <font>
      <sz val="11"/>
      <color rgb="FF404040"/>
      <name val="Trebuchet MS"/>
    </font>
    <font>
      <sz val="16"/>
      <color theme="1"/>
      <name val="Times New Roman"/>
    </font>
    <font>
      <sz val="20"/>
      <color rgb="FF000000"/>
      <name val="Trebuchet MS"/>
    </font>
    <font>
      <sz val="10"/>
      <color theme="1"/>
      <name val="Trebuchet MS"/>
    </font>
    <font>
      <sz val="11"/>
      <color rgb="FF000000"/>
      <name val="Trebuchet MS"/>
    </font>
    <font>
      <b/>
      <sz val="13"/>
      <color theme="1"/>
      <name val="Times New Roman"/>
    </font>
    <font>
      <sz val="13"/>
      <color theme="1"/>
      <name val="Times New Roman"/>
    </font>
    <font>
      <u/>
      <sz val="13"/>
      <color rgb="FF0000FF"/>
      <name val="Times New Roman"/>
    </font>
    <font>
      <sz val="11"/>
      <color theme="1"/>
      <name val="Trebuchet MS"/>
    </font>
    <font>
      <b/>
      <sz val="11"/>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i/>
      <u/>
      <sz val="10"/>
      <color theme="1"/>
      <name val="Arial"/>
    </font>
    <font>
      <u/>
      <sz val="10"/>
      <color theme="10"/>
      <name val="Arial"/>
      <scheme val="minor"/>
    </font>
    <font>
      <sz val="10"/>
      <color rgb="FF000000"/>
      <name val="Arial"/>
      <family val="2"/>
      <scheme val="minor"/>
    </font>
    <font>
      <sz val="10"/>
      <color rgb="FF000000"/>
      <name val="Arial"/>
      <family val="2"/>
    </font>
    <font>
      <sz val="10"/>
      <color rgb="FF000000"/>
      <name val="Trebuchet MS"/>
      <family val="2"/>
    </font>
    <font>
      <sz val="11"/>
      <color theme="1"/>
      <name val="Calibri"/>
      <family val="2"/>
    </font>
    <font>
      <b/>
      <sz val="11"/>
      <color theme="1"/>
      <name val="Calibri"/>
      <family val="2"/>
    </font>
    <font>
      <b/>
      <sz val="11"/>
      <color rgb="FF404040"/>
      <name val="Trebuchet MS"/>
      <family val="2"/>
    </font>
    <font>
      <sz val="11"/>
      <color rgb="FF000000"/>
      <name val="Trebuchet MS"/>
      <family val="2"/>
    </font>
    <font>
      <sz val="11"/>
      <color rgb="FF404040"/>
      <name val="Trebuchet MS"/>
      <family val="2"/>
    </font>
    <font>
      <b/>
      <sz val="11"/>
      <name val="Arial"/>
      <family val="2"/>
      <scheme val="major"/>
    </font>
    <font>
      <sz val="11"/>
      <name val="Arial"/>
      <family val="2"/>
      <scheme val="major"/>
    </font>
    <font>
      <sz val="10"/>
      <name val="Arial"/>
      <family val="2"/>
      <scheme val="major"/>
    </font>
    <font>
      <b/>
      <sz val="10"/>
      <name val="Arial"/>
      <family val="2"/>
      <scheme val="minor"/>
    </font>
    <font>
      <b/>
      <sz val="10"/>
      <color rgb="FF000000"/>
      <name val="Arial"/>
      <family val="2"/>
    </font>
    <font>
      <sz val="11"/>
      <name val="Calibri"/>
    </font>
  </fonts>
  <fills count="20">
    <fill>
      <patternFill patternType="none"/>
    </fill>
    <fill>
      <patternFill patternType="gray125"/>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F2F2F2"/>
        <bgColor rgb="FFF2F2F2"/>
      </patternFill>
    </fill>
    <fill>
      <patternFill patternType="solid">
        <fgColor theme="8" tint="-0.249977111117893"/>
        <bgColor rgb="FFC9DAF8"/>
      </patternFill>
    </fill>
    <fill>
      <patternFill patternType="solid">
        <fgColor theme="8" tint="-0.249977111117893"/>
        <bgColor indexed="64"/>
      </patternFill>
    </fill>
    <fill>
      <patternFill patternType="solid">
        <fgColor theme="8" tint="-0.249977111117893"/>
        <bgColor rgb="FFA4C2F4"/>
      </patternFill>
    </fill>
    <fill>
      <patternFill patternType="solid">
        <fgColor theme="8" tint="-0.249977111117893"/>
        <bgColor rgb="FF6D9EEB"/>
      </patternFill>
    </fill>
    <fill>
      <patternFill patternType="solid">
        <fgColor theme="6" tint="-0.249977111117893"/>
        <bgColor indexed="64"/>
      </patternFill>
    </fill>
    <fill>
      <patternFill patternType="solid">
        <fgColor theme="6" tint="0.59999389629810485"/>
        <bgColor indexed="64"/>
      </patternFill>
    </fill>
  </fills>
  <borders count="68">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1" fillId="0" borderId="0" applyNumberFormat="0" applyFill="0" applyBorder="0" applyAlignment="0" applyProtection="0"/>
  </cellStyleXfs>
  <cellXfs count="330">
    <xf numFmtId="0" fontId="0" fillId="0" borderId="0" xfId="0"/>
    <xf numFmtId="0" fontId="1" fillId="0" borderId="0" xfId="0" applyFont="1"/>
    <xf numFmtId="0" fontId="1"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5" fillId="2" borderId="1" xfId="0" applyFont="1" applyFill="1" applyBorder="1" applyAlignment="1">
      <alignment horizontal="center"/>
    </xf>
    <xf numFmtId="164" fontId="5" fillId="2" borderId="1" xfId="0" applyNumberFormat="1" applyFont="1" applyFill="1" applyBorder="1"/>
    <xf numFmtId="0" fontId="7" fillId="0" borderId="0" xfId="0" applyFont="1"/>
    <xf numFmtId="0" fontId="9" fillId="4" borderId="8" xfId="0" applyFont="1" applyFill="1" applyBorder="1" applyAlignment="1">
      <alignment horizontal="center" vertical="center" wrapText="1"/>
    </xf>
    <xf numFmtId="0" fontId="10" fillId="0" borderId="8" xfId="0" applyFont="1" applyBorder="1" applyAlignment="1">
      <alignment horizontal="center" vertical="center" wrapText="1"/>
    </xf>
    <xf numFmtId="0" fontId="11" fillId="5"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2" fillId="0" borderId="0" xfId="0" applyFont="1" applyAlignment="1">
      <alignment horizontal="center" vertical="center"/>
    </xf>
    <xf numFmtId="0" fontId="9" fillId="0" borderId="8" xfId="0" applyFont="1" applyBorder="1" applyAlignment="1">
      <alignment horizontal="center" vertical="center"/>
    </xf>
    <xf numFmtId="0" fontId="13"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1" fillId="7" borderId="8" xfId="0" applyFont="1" applyFill="1" applyBorder="1" applyAlignment="1">
      <alignment horizontal="center" vertical="center" wrapText="1"/>
    </xf>
    <xf numFmtId="165" fontId="13" fillId="0" borderId="8" xfId="0" applyNumberFormat="1" applyFont="1" applyBorder="1" applyAlignment="1">
      <alignment horizontal="center" vertical="center" wrapText="1"/>
    </xf>
    <xf numFmtId="166" fontId="13" fillId="0" borderId="8" xfId="0" applyNumberFormat="1" applyFont="1" applyBorder="1" applyAlignment="1">
      <alignment horizontal="center" vertical="center" wrapText="1"/>
    </xf>
    <xf numFmtId="167" fontId="13" fillId="0" borderId="8" xfId="0" applyNumberFormat="1" applyFont="1" applyBorder="1" applyAlignment="1">
      <alignment horizontal="center" vertical="center" wrapText="1"/>
    </xf>
    <xf numFmtId="168" fontId="13"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0" fontId="15" fillId="0" borderId="7" xfId="0" applyFont="1" applyBorder="1" applyAlignment="1">
      <alignment horizontal="center" vertical="center" wrapText="1"/>
    </xf>
    <xf numFmtId="0" fontId="16" fillId="7" borderId="10"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center" vertical="center" wrapText="1"/>
    </xf>
    <xf numFmtId="0" fontId="19" fillId="7" borderId="10"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7" fillId="0" borderId="8" xfId="0" applyFont="1" applyBorder="1"/>
    <xf numFmtId="0" fontId="15" fillId="0" borderId="8" xfId="0" applyFont="1" applyBorder="1" applyAlignment="1">
      <alignment horizontal="left" vertical="top" wrapText="1"/>
    </xf>
    <xf numFmtId="0" fontId="21" fillId="0" borderId="0" xfId="0" applyFont="1" applyAlignment="1">
      <alignment horizontal="center" vertical="center" wrapText="1"/>
    </xf>
    <xf numFmtId="0" fontId="10" fillId="0" borderId="11" xfId="0" applyFont="1" applyBorder="1" applyAlignment="1">
      <alignment horizontal="center" vertical="center" wrapText="1"/>
    </xf>
    <xf numFmtId="0" fontId="22" fillId="5"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0" borderId="5" xfId="0" applyFont="1" applyBorder="1" applyAlignment="1">
      <alignment horizontal="center" vertical="center"/>
    </xf>
    <xf numFmtId="0" fontId="1" fillId="0" borderId="8" xfId="0" applyFont="1" applyBorder="1" applyAlignment="1">
      <alignment horizontal="center" vertical="center" wrapText="1"/>
    </xf>
    <xf numFmtId="0" fontId="23" fillId="0" borderId="8" xfId="0" applyFont="1" applyBorder="1" applyAlignment="1">
      <alignment horizontal="center" vertical="center" wrapText="1"/>
    </xf>
    <xf numFmtId="165" fontId="1" fillId="0" borderId="8" xfId="0" applyNumberFormat="1" applyFont="1" applyBorder="1" applyAlignment="1">
      <alignment horizontal="center" vertical="center" wrapText="1"/>
    </xf>
    <xf numFmtId="167" fontId="7" fillId="0" borderId="8" xfId="0" applyNumberFormat="1" applyFont="1" applyBorder="1" applyAlignment="1">
      <alignment horizontal="center" vertical="center" wrapText="1"/>
    </xf>
    <xf numFmtId="168" fontId="1" fillId="7" borderId="8" xfId="0" applyNumberFormat="1" applyFont="1" applyFill="1" applyBorder="1" applyAlignment="1">
      <alignment horizontal="center" vertical="center" wrapText="1"/>
    </xf>
    <xf numFmtId="165" fontId="1" fillId="7" borderId="8" xfId="0" applyNumberFormat="1" applyFont="1" applyFill="1" applyBorder="1" applyAlignment="1">
      <alignment horizontal="center" vertical="center" wrapText="1"/>
    </xf>
    <xf numFmtId="0" fontId="15" fillId="0" borderId="14" xfId="0" applyFont="1" applyBorder="1" applyAlignment="1">
      <alignment horizontal="left" vertical="top" wrapText="1"/>
    </xf>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24" fillId="5" borderId="11" xfId="0" applyFont="1" applyFill="1" applyBorder="1" applyAlignment="1">
      <alignment horizontal="center" vertical="center" wrapText="1"/>
    </xf>
    <xf numFmtId="0" fontId="9" fillId="6" borderId="15" xfId="0" applyFont="1" applyFill="1" applyBorder="1" applyAlignment="1">
      <alignment horizontal="center" vertical="center" wrapText="1"/>
    </xf>
    <xf numFmtId="167" fontId="1" fillId="0" borderId="8" xfId="0" applyNumberFormat="1" applyFont="1" applyBorder="1" applyAlignment="1">
      <alignment horizontal="center" vertical="center" wrapText="1"/>
    </xf>
    <xf numFmtId="0" fontId="25" fillId="7" borderId="8" xfId="0" applyFont="1" applyFill="1" applyBorder="1" applyAlignment="1">
      <alignment horizontal="center" vertical="center"/>
    </xf>
    <xf numFmtId="0" fontId="26" fillId="7" borderId="8" xfId="0" applyFont="1" applyFill="1" applyBorder="1" applyAlignment="1">
      <alignment horizontal="center" vertical="center"/>
    </xf>
    <xf numFmtId="168" fontId="1" fillId="7" borderId="9" xfId="0" applyNumberFormat="1" applyFont="1" applyFill="1" applyBorder="1" applyAlignment="1">
      <alignment horizontal="center" vertical="center" wrapText="1"/>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7" borderId="10"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0" xfId="0" applyFont="1" applyAlignment="1">
      <alignment horizontal="center" vertical="center"/>
    </xf>
    <xf numFmtId="0" fontId="9" fillId="6" borderId="8" xfId="0" applyFont="1" applyFill="1" applyBorder="1" applyAlignment="1">
      <alignment horizontal="center" vertical="center" wrapText="1"/>
    </xf>
    <xf numFmtId="0" fontId="28" fillId="7" borderId="8" xfId="0" applyFont="1" applyFill="1" applyBorder="1" applyAlignment="1">
      <alignment horizontal="center" vertical="center" wrapText="1"/>
    </xf>
    <xf numFmtId="0" fontId="29" fillId="7" borderId="8" xfId="0" applyFont="1" applyFill="1" applyBorder="1" applyAlignment="1">
      <alignment horizontal="center" vertical="center"/>
    </xf>
    <xf numFmtId="166" fontId="1" fillId="7" borderId="8" xfId="0" applyNumberFormat="1" applyFont="1" applyFill="1" applyBorder="1" applyAlignment="1">
      <alignment horizontal="center" vertical="center"/>
    </xf>
    <xf numFmtId="167" fontId="7" fillId="7" borderId="8" xfId="0" applyNumberFormat="1" applyFont="1" applyFill="1" applyBorder="1" applyAlignment="1">
      <alignment horizontal="center" vertical="center" wrapText="1"/>
    </xf>
    <xf numFmtId="0" fontId="30" fillId="0" borderId="8" xfId="0" applyFont="1" applyBorder="1" applyAlignment="1">
      <alignment horizontal="center" vertical="center" wrapText="1"/>
    </xf>
    <xf numFmtId="0" fontId="23" fillId="7"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31" fillId="5" borderId="8" xfId="0" applyFont="1" applyFill="1" applyBorder="1" applyAlignment="1">
      <alignment horizontal="center" vertical="center" wrapText="1"/>
    </xf>
    <xf numFmtId="0" fontId="1" fillId="0" borderId="5" xfId="0" applyFont="1" applyBorder="1" applyAlignment="1">
      <alignment horizontal="center" vertical="center" wrapText="1"/>
    </xf>
    <xf numFmtId="0" fontId="32" fillId="0" borderId="11" xfId="0" applyFont="1" applyBorder="1" applyAlignment="1">
      <alignment vertical="center" wrapText="1"/>
    </xf>
    <xf numFmtId="169" fontId="1" fillId="0" borderId="8" xfId="0" applyNumberFormat="1" applyFont="1" applyBorder="1" applyAlignment="1">
      <alignment horizontal="center" vertical="center" wrapText="1"/>
    </xf>
    <xf numFmtId="0" fontId="1" fillId="7" borderId="8" xfId="0" applyFont="1" applyFill="1" applyBorder="1" applyAlignment="1">
      <alignment vertical="center" wrapText="1"/>
    </xf>
    <xf numFmtId="0" fontId="33" fillId="7" borderId="8" xfId="0" applyFont="1" applyFill="1" applyBorder="1" applyAlignment="1">
      <alignment horizontal="center" vertical="center" wrapText="1"/>
    </xf>
    <xf numFmtId="166" fontId="1" fillId="0" borderId="8" xfId="0" applyNumberFormat="1" applyFont="1" applyBorder="1" applyAlignment="1">
      <alignment horizontal="center" vertical="center" wrapText="1"/>
    </xf>
    <xf numFmtId="0" fontId="34" fillId="7" borderId="8" xfId="0" applyFont="1" applyFill="1" applyBorder="1" applyAlignment="1">
      <alignment vertical="center" wrapText="1"/>
    </xf>
    <xf numFmtId="170" fontId="1" fillId="0" borderId="8" xfId="0" applyNumberFormat="1" applyFont="1" applyBorder="1" applyAlignment="1">
      <alignment horizontal="center" vertical="center" wrapText="1"/>
    </xf>
    <xf numFmtId="0" fontId="7" fillId="7" borderId="8" xfId="0" applyFont="1" applyFill="1" applyBorder="1" applyAlignment="1">
      <alignment horizontal="center" vertical="center" wrapText="1"/>
    </xf>
    <xf numFmtId="165" fontId="7" fillId="7" borderId="8" xfId="0" applyNumberFormat="1" applyFont="1" applyFill="1" applyBorder="1" applyAlignment="1">
      <alignment horizontal="center" vertical="center" wrapText="1"/>
    </xf>
    <xf numFmtId="165" fontId="7" fillId="0" borderId="8"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35" fillId="8" borderId="8" xfId="0" applyFont="1" applyFill="1" applyBorder="1" applyAlignment="1">
      <alignment horizontal="center" vertical="center" wrapText="1"/>
    </xf>
    <xf numFmtId="166" fontId="7" fillId="0" borderId="8" xfId="0" applyNumberFormat="1" applyFont="1" applyBorder="1" applyAlignment="1">
      <alignment horizontal="center" vertical="center" wrapText="1"/>
    </xf>
    <xf numFmtId="168" fontId="7" fillId="0" borderId="8" xfId="0" applyNumberFormat="1" applyFont="1" applyBorder="1" applyAlignment="1">
      <alignment horizontal="center" vertical="center" wrapText="1"/>
    </xf>
    <xf numFmtId="171" fontId="7" fillId="0" borderId="8" xfId="0" applyNumberFormat="1" applyFont="1" applyBorder="1" applyAlignment="1">
      <alignment horizontal="center" vertical="center" wrapText="1"/>
    </xf>
    <xf numFmtId="0" fontId="37" fillId="8" borderId="8" xfId="0" applyFont="1" applyFill="1" applyBorder="1" applyAlignment="1">
      <alignment horizontal="center" vertical="center" wrapText="1"/>
    </xf>
    <xf numFmtId="0" fontId="9" fillId="0" borderId="0" xfId="0" applyFont="1" applyAlignment="1">
      <alignment horizontal="center" vertical="center"/>
    </xf>
    <xf numFmtId="0" fontId="7" fillId="0" borderId="0" xfId="0" applyFont="1" applyAlignment="1">
      <alignment horizontal="center" vertical="center" wrapText="1"/>
    </xf>
    <xf numFmtId="0" fontId="7" fillId="8" borderId="0" xfId="0" applyFont="1" applyFill="1" applyAlignment="1">
      <alignment horizontal="center" vertical="center" wrapText="1"/>
    </xf>
    <xf numFmtId="165" fontId="7" fillId="0" borderId="0" xfId="0" applyNumberFormat="1" applyFont="1" applyAlignment="1">
      <alignment horizontal="center" vertical="center" wrapText="1"/>
    </xf>
    <xf numFmtId="167" fontId="7" fillId="0" borderId="0" xfId="0" applyNumberFormat="1" applyFont="1" applyAlignment="1">
      <alignment horizontal="center" vertical="center" wrapText="1"/>
    </xf>
    <xf numFmtId="168" fontId="7" fillId="0" borderId="0" xfId="0" applyNumberFormat="1" applyFont="1" applyAlignment="1">
      <alignment horizontal="center" vertical="center" wrapText="1"/>
    </xf>
    <xf numFmtId="0" fontId="38" fillId="8" borderId="8" xfId="0" applyFont="1" applyFill="1" applyBorder="1" applyAlignment="1">
      <alignment horizontal="center" vertical="center" wrapText="1"/>
    </xf>
    <xf numFmtId="0" fontId="39" fillId="0" borderId="8" xfId="0" applyFont="1" applyBorder="1" applyAlignment="1">
      <alignment horizontal="center" vertical="center" wrapText="1"/>
    </xf>
    <xf numFmtId="168" fontId="7" fillId="0" borderId="8" xfId="0" applyNumberFormat="1" applyFont="1" applyBorder="1" applyAlignment="1">
      <alignment horizontal="left" vertical="center" wrapText="1"/>
    </xf>
    <xf numFmtId="0" fontId="40" fillId="4" borderId="8" xfId="0" applyFont="1" applyFill="1" applyBorder="1" applyAlignment="1">
      <alignment horizontal="center" wrapText="1"/>
    </xf>
    <xf numFmtId="0" fontId="41" fillId="0" borderId="11" xfId="0" applyFont="1" applyBorder="1" applyAlignment="1">
      <alignment horizontal="center" wrapText="1"/>
    </xf>
    <xf numFmtId="0" fontId="42" fillId="5" borderId="12" xfId="0" applyFont="1" applyFill="1" applyBorder="1" applyAlignment="1">
      <alignment horizontal="center" wrapText="1"/>
    </xf>
    <xf numFmtId="0" fontId="40" fillId="6" borderId="13" xfId="0" applyFont="1" applyFill="1" applyBorder="1" applyAlignment="1">
      <alignment horizontal="center" wrapText="1"/>
    </xf>
    <xf numFmtId="0" fontId="40" fillId="0" borderId="5" xfId="0" applyFont="1" applyBorder="1" applyAlignment="1">
      <alignment horizontal="center"/>
    </xf>
    <xf numFmtId="0" fontId="30" fillId="0" borderId="8" xfId="0" applyFont="1" applyBorder="1" applyAlignment="1">
      <alignment horizontal="center" wrapText="1"/>
    </xf>
    <xf numFmtId="0" fontId="43" fillId="8" borderId="8" xfId="0" applyFont="1" applyFill="1" applyBorder="1" applyAlignment="1">
      <alignment horizontal="center" vertical="center" wrapText="1"/>
    </xf>
    <xf numFmtId="0" fontId="44" fillId="0" borderId="8" xfId="0" applyFont="1" applyBorder="1" applyAlignment="1">
      <alignment vertical="center"/>
    </xf>
    <xf numFmtId="165" fontId="30" fillId="0" borderId="8" xfId="0" applyNumberFormat="1" applyFont="1" applyBorder="1" applyAlignment="1">
      <alignment horizontal="center" vertical="center" wrapText="1"/>
    </xf>
    <xf numFmtId="166" fontId="30" fillId="0" borderId="8" xfId="0" applyNumberFormat="1" applyFont="1" applyBorder="1" applyAlignment="1">
      <alignment horizontal="center" vertical="center" wrapText="1"/>
    </xf>
    <xf numFmtId="168" fontId="30" fillId="0" borderId="8" xfId="0" applyNumberFormat="1" applyFont="1" applyBorder="1" applyAlignment="1">
      <alignment horizontal="center" vertical="center" wrapText="1"/>
    </xf>
    <xf numFmtId="0" fontId="44" fillId="0" borderId="8" xfId="0" applyFont="1" applyBorder="1" applyAlignment="1">
      <alignment vertical="center" wrapText="1"/>
    </xf>
    <xf numFmtId="0" fontId="45" fillId="0" borderId="8" xfId="0" applyFont="1" applyBorder="1" applyAlignment="1">
      <alignment horizontal="center" wrapText="1"/>
    </xf>
    <xf numFmtId="172" fontId="30" fillId="0" borderId="8" xfId="0" applyNumberFormat="1" applyFont="1" applyBorder="1" applyAlignment="1">
      <alignment horizontal="center" vertical="center" wrapText="1"/>
    </xf>
    <xf numFmtId="167" fontId="30" fillId="0" borderId="8" xfId="0" applyNumberFormat="1" applyFont="1" applyBorder="1" applyAlignment="1">
      <alignment horizontal="center" vertical="center" wrapText="1"/>
    </xf>
    <xf numFmtId="0" fontId="46" fillId="8" borderId="8" xfId="0" applyFont="1" applyFill="1" applyBorder="1" applyAlignment="1">
      <alignment horizontal="center" wrapText="1"/>
    </xf>
    <xf numFmtId="165" fontId="30" fillId="0" borderId="8" xfId="0" applyNumberFormat="1" applyFont="1" applyBorder="1" applyAlignment="1">
      <alignment horizontal="center" wrapText="1"/>
    </xf>
    <xf numFmtId="166" fontId="30" fillId="0" borderId="8" xfId="0" applyNumberFormat="1" applyFont="1" applyBorder="1" applyAlignment="1">
      <alignment horizontal="center" wrapText="1"/>
    </xf>
    <xf numFmtId="168" fontId="30" fillId="0" borderId="8" xfId="0" applyNumberFormat="1" applyFont="1" applyBorder="1" applyAlignment="1">
      <alignment horizontal="center" wrapText="1"/>
    </xf>
    <xf numFmtId="0" fontId="47" fillId="0" borderId="8" xfId="0" applyFont="1" applyBorder="1" applyAlignment="1">
      <alignment horizontal="center" wrapText="1"/>
    </xf>
    <xf numFmtId="171" fontId="30" fillId="0" borderId="8" xfId="0" applyNumberFormat="1" applyFont="1" applyBorder="1" applyAlignment="1">
      <alignment horizontal="center" wrapText="1"/>
    </xf>
    <xf numFmtId="167" fontId="30" fillId="0" borderId="8" xfId="0" applyNumberFormat="1" applyFont="1" applyBorder="1" applyAlignment="1">
      <alignment horizontal="center" wrapText="1"/>
    </xf>
    <xf numFmtId="0" fontId="48" fillId="8" borderId="8" xfId="0" applyFont="1" applyFill="1" applyBorder="1" applyAlignment="1">
      <alignment horizontal="center" vertical="center" wrapText="1"/>
    </xf>
    <xf numFmtId="0" fontId="44" fillId="0" borderId="8" xfId="0" applyFont="1" applyBorder="1" applyAlignment="1">
      <alignment horizontal="center" vertical="center"/>
    </xf>
    <xf numFmtId="171" fontId="30" fillId="0" borderId="8" xfId="0" applyNumberFormat="1" applyFont="1" applyBorder="1" applyAlignment="1">
      <alignment horizontal="center" vertical="center" wrapText="1"/>
    </xf>
    <xf numFmtId="0" fontId="44" fillId="0" borderId="8" xfId="0" applyFont="1" applyBorder="1" applyAlignment="1">
      <alignment horizontal="center" vertical="center" wrapText="1"/>
    </xf>
    <xf numFmtId="166" fontId="44" fillId="0" borderId="0" xfId="0" applyNumberFormat="1" applyFont="1"/>
    <xf numFmtId="166" fontId="7" fillId="7" borderId="8" xfId="0" applyNumberFormat="1" applyFont="1" applyFill="1" applyBorder="1" applyAlignment="1">
      <alignment horizontal="center" vertical="center" wrapText="1"/>
    </xf>
    <xf numFmtId="166" fontId="1" fillId="7" borderId="8" xfId="0" applyNumberFormat="1" applyFont="1" applyFill="1" applyBorder="1" applyAlignment="1">
      <alignment horizontal="center" vertical="center" wrapText="1"/>
    </xf>
    <xf numFmtId="0" fontId="49" fillId="7" borderId="8" xfId="0" applyFont="1" applyFill="1" applyBorder="1" applyAlignment="1">
      <alignment horizontal="center" vertical="center" wrapText="1"/>
    </xf>
    <xf numFmtId="0" fontId="50" fillId="7" borderId="8" xfId="0" applyFont="1" applyFill="1" applyBorder="1" applyAlignment="1">
      <alignment horizontal="center" vertical="center" wrapText="1"/>
    </xf>
    <xf numFmtId="0" fontId="44" fillId="0" borderId="0" xfId="0" applyFont="1" applyAlignment="1">
      <alignment vertical="center"/>
    </xf>
    <xf numFmtId="166" fontId="7" fillId="7" borderId="8" xfId="0" applyNumberFormat="1" applyFont="1" applyFill="1" applyBorder="1" applyAlignment="1">
      <alignment horizontal="right" vertical="center" wrapText="1"/>
    </xf>
    <xf numFmtId="0" fontId="44" fillId="0" borderId="8" xfId="0" applyFont="1" applyBorder="1" applyAlignment="1">
      <alignment wrapText="1"/>
    </xf>
    <xf numFmtId="0" fontId="51" fillId="10" borderId="19" xfId="0" applyFont="1" applyFill="1" applyBorder="1" applyAlignment="1">
      <alignment horizontal="center"/>
    </xf>
    <xf numFmtId="0" fontId="52" fillId="11" borderId="21" xfId="0" applyFont="1" applyFill="1" applyBorder="1"/>
    <xf numFmtId="173" fontId="52" fillId="0" borderId="21" xfId="0" applyNumberFormat="1" applyFont="1" applyBorder="1" applyAlignment="1">
      <alignment horizontal="right"/>
    </xf>
    <xf numFmtId="0" fontId="52" fillId="11" borderId="22" xfId="0" applyFont="1" applyFill="1" applyBorder="1"/>
    <xf numFmtId="173" fontId="52" fillId="0" borderId="22" xfId="0" applyNumberFormat="1" applyFont="1" applyBorder="1" applyAlignment="1">
      <alignment horizontal="right"/>
    </xf>
    <xf numFmtId="0" fontId="52" fillId="11" borderId="23" xfId="0" applyFont="1" applyFill="1" applyBorder="1"/>
    <xf numFmtId="173" fontId="52" fillId="0" borderId="23" xfId="0" applyNumberFormat="1" applyFont="1" applyBorder="1" applyAlignment="1">
      <alignment horizontal="right"/>
    </xf>
    <xf numFmtId="0" fontId="52" fillId="11" borderId="24" xfId="0" applyFont="1" applyFill="1" applyBorder="1"/>
    <xf numFmtId="173" fontId="52" fillId="0" borderId="24" xfId="0" applyNumberFormat="1" applyFont="1" applyBorder="1" applyAlignment="1">
      <alignment horizontal="right"/>
    </xf>
    <xf numFmtId="166" fontId="52" fillId="0" borderId="23" xfId="0" applyNumberFormat="1" applyFont="1" applyBorder="1" applyAlignment="1">
      <alignment horizontal="right"/>
    </xf>
    <xf numFmtId="0" fontId="52" fillId="10" borderId="24" xfId="0" applyFont="1" applyFill="1" applyBorder="1"/>
    <xf numFmtId="173" fontId="52" fillId="10" borderId="24" xfId="0" applyNumberFormat="1" applyFont="1" applyFill="1" applyBorder="1" applyAlignment="1">
      <alignment horizontal="right"/>
    </xf>
    <xf numFmtId="0" fontId="52" fillId="11" borderId="25" xfId="0" applyFont="1" applyFill="1" applyBorder="1"/>
    <xf numFmtId="166" fontId="52" fillId="0" borderId="25" xfId="0" applyNumberFormat="1" applyFont="1" applyBorder="1" applyAlignment="1">
      <alignment horizontal="right"/>
    </xf>
    <xf numFmtId="9" fontId="52" fillId="12" borderId="26" xfId="0" applyNumberFormat="1" applyFont="1" applyFill="1" applyBorder="1" applyAlignment="1">
      <alignment horizontal="right"/>
    </xf>
    <xf numFmtId="0" fontId="53" fillId="0" borderId="0" xfId="0" applyFont="1"/>
    <xf numFmtId="9" fontId="52" fillId="12" borderId="29" xfId="0" applyNumberFormat="1" applyFont="1" applyFill="1" applyBorder="1" applyAlignment="1">
      <alignment horizontal="right"/>
    </xf>
    <xf numFmtId="0" fontId="52" fillId="11" borderId="30" xfId="0" applyFont="1" applyFill="1" applyBorder="1"/>
    <xf numFmtId="166" fontId="52" fillId="12" borderId="26" xfId="0" applyNumberFormat="1" applyFont="1" applyFill="1" applyBorder="1" applyAlignment="1">
      <alignment horizontal="right"/>
    </xf>
    <xf numFmtId="0" fontId="54" fillId="0" borderId="0" xfId="0" applyFont="1"/>
    <xf numFmtId="166" fontId="54" fillId="0" borderId="0" xfId="0" applyNumberFormat="1" applyFont="1"/>
    <xf numFmtId="0" fontId="52" fillId="11" borderId="31" xfId="0" applyFont="1" applyFill="1" applyBorder="1"/>
    <xf numFmtId="9" fontId="52" fillId="12" borderId="32" xfId="0" applyNumberFormat="1" applyFont="1" applyFill="1" applyBorder="1" applyAlignment="1">
      <alignment horizontal="right"/>
    </xf>
    <xf numFmtId="166" fontId="52" fillId="12" borderId="29" xfId="0" applyNumberFormat="1" applyFont="1" applyFill="1" applyBorder="1" applyAlignment="1">
      <alignment horizontal="right"/>
    </xf>
    <xf numFmtId="0" fontId="51" fillId="10" borderId="33" xfId="0" applyFont="1" applyFill="1" applyBorder="1"/>
    <xf numFmtId="9" fontId="51" fillId="10" borderId="34" xfId="0" applyNumberFormat="1" applyFont="1" applyFill="1" applyBorder="1" applyAlignment="1">
      <alignment horizontal="right"/>
    </xf>
    <xf numFmtId="0" fontId="52" fillId="11" borderId="8" xfId="0" applyFont="1" applyFill="1" applyBorder="1"/>
    <xf numFmtId="166" fontId="52" fillId="12" borderId="35" xfId="0" applyNumberFormat="1" applyFont="1" applyFill="1" applyBorder="1" applyAlignment="1">
      <alignment horizontal="right"/>
    </xf>
    <xf numFmtId="10" fontId="52" fillId="12" borderId="21" xfId="0" applyNumberFormat="1" applyFont="1" applyFill="1" applyBorder="1" applyAlignment="1">
      <alignment horizontal="right"/>
    </xf>
    <xf numFmtId="10" fontId="52" fillId="12" borderId="22" xfId="0" applyNumberFormat="1" applyFont="1" applyFill="1" applyBorder="1" applyAlignment="1">
      <alignment horizontal="right"/>
    </xf>
    <xf numFmtId="10" fontId="52" fillId="12" borderId="31" xfId="0" applyNumberFormat="1" applyFont="1" applyFill="1" applyBorder="1" applyAlignment="1">
      <alignment horizontal="right"/>
    </xf>
    <xf numFmtId="10" fontId="51" fillId="10" borderId="33" xfId="0" applyNumberFormat="1" applyFont="1" applyFill="1" applyBorder="1" applyAlignment="1">
      <alignment horizontal="right"/>
    </xf>
    <xf numFmtId="166" fontId="52" fillId="11" borderId="25" xfId="0" applyNumberFormat="1" applyFont="1" applyFill="1" applyBorder="1"/>
    <xf numFmtId="10" fontId="52" fillId="12" borderId="24" xfId="0" applyNumberFormat="1" applyFont="1" applyFill="1" applyBorder="1" applyAlignment="1">
      <alignment horizontal="right"/>
    </xf>
    <xf numFmtId="0" fontId="51" fillId="10" borderId="39" xfId="0" applyFont="1" applyFill="1" applyBorder="1" applyAlignment="1">
      <alignment horizontal="center"/>
    </xf>
    <xf numFmtId="0" fontId="52" fillId="0" borderId="21" xfId="0" applyFont="1" applyBorder="1"/>
    <xf numFmtId="173" fontId="52" fillId="12" borderId="21" xfId="0" applyNumberFormat="1" applyFont="1" applyFill="1" applyBorder="1" applyAlignment="1">
      <alignment horizontal="right"/>
    </xf>
    <xf numFmtId="173" fontId="52" fillId="12" borderId="22" xfId="0" applyNumberFormat="1" applyFont="1" applyFill="1" applyBorder="1" applyAlignment="1">
      <alignment horizontal="right"/>
    </xf>
    <xf numFmtId="0" fontId="52" fillId="0" borderId="22" xfId="0" applyFont="1" applyBorder="1"/>
    <xf numFmtId="0" fontId="51" fillId="10" borderId="22" xfId="0" applyFont="1" applyFill="1" applyBorder="1"/>
    <xf numFmtId="9" fontId="51" fillId="10" borderId="22" xfId="0" applyNumberFormat="1" applyFont="1" applyFill="1" applyBorder="1" applyAlignment="1">
      <alignment horizontal="right"/>
    </xf>
    <xf numFmtId="0" fontId="51" fillId="10" borderId="31" xfId="0" applyFont="1" applyFill="1" applyBorder="1"/>
    <xf numFmtId="9" fontId="51" fillId="10" borderId="31" xfId="0" applyNumberFormat="1" applyFont="1" applyFill="1" applyBorder="1" applyAlignment="1">
      <alignment horizontal="right"/>
    </xf>
    <xf numFmtId="0" fontId="52" fillId="0" borderId="23" xfId="0" applyFont="1" applyBorder="1"/>
    <xf numFmtId="173" fontId="52" fillId="0" borderId="23" xfId="0" applyNumberFormat="1" applyFont="1" applyBorder="1"/>
    <xf numFmtId="173" fontId="52" fillId="12" borderId="22" xfId="0" applyNumberFormat="1" applyFont="1" applyFill="1" applyBorder="1"/>
    <xf numFmtId="0" fontId="51" fillId="10" borderId="25" xfId="0" applyFont="1" applyFill="1" applyBorder="1"/>
    <xf numFmtId="10" fontId="51" fillId="10" borderId="40" xfId="0" applyNumberFormat="1" applyFont="1" applyFill="1" applyBorder="1" applyAlignment="1">
      <alignment horizontal="right"/>
    </xf>
    <xf numFmtId="173" fontId="51" fillId="10" borderId="25" xfId="0" applyNumberFormat="1" applyFont="1" applyFill="1" applyBorder="1" applyAlignment="1">
      <alignment horizontal="right"/>
    </xf>
    <xf numFmtId="0" fontId="52" fillId="0" borderId="0" xfId="0" applyFont="1"/>
    <xf numFmtId="0" fontId="51" fillId="10" borderId="41" xfId="0" applyFont="1" applyFill="1" applyBorder="1" applyAlignment="1">
      <alignment horizontal="center"/>
    </xf>
    <xf numFmtId="0" fontId="51" fillId="10" borderId="25" xfId="0" applyFont="1" applyFill="1" applyBorder="1" applyAlignment="1">
      <alignment horizontal="center"/>
    </xf>
    <xf numFmtId="0" fontId="51" fillId="11" borderId="21" xfId="0" applyFont="1" applyFill="1" applyBorder="1"/>
    <xf numFmtId="1" fontId="52" fillId="0" borderId="21" xfId="0" applyNumberFormat="1" applyFont="1" applyBorder="1"/>
    <xf numFmtId="173" fontId="52" fillId="12" borderId="21" xfId="0" applyNumberFormat="1" applyFont="1" applyFill="1" applyBorder="1" applyAlignment="1">
      <alignment horizontal="center"/>
    </xf>
    <xf numFmtId="0" fontId="51" fillId="11" borderId="22" xfId="0" applyFont="1" applyFill="1" applyBorder="1"/>
    <xf numFmtId="0" fontId="52" fillId="0" borderId="45" xfId="0" applyFont="1" applyBorder="1"/>
    <xf numFmtId="1" fontId="52" fillId="0" borderId="22" xfId="0" applyNumberFormat="1" applyFont="1" applyBorder="1"/>
    <xf numFmtId="166" fontId="52" fillId="0" borderId="35" xfId="0" applyNumberFormat="1" applyFont="1" applyBorder="1"/>
    <xf numFmtId="173" fontId="52" fillId="12" borderId="22" xfId="0" applyNumberFormat="1" applyFont="1" applyFill="1" applyBorder="1" applyAlignment="1">
      <alignment horizontal="center"/>
    </xf>
    <xf numFmtId="0" fontId="51" fillId="11" borderId="31" xfId="0" applyFont="1" applyFill="1" applyBorder="1"/>
    <xf numFmtId="173" fontId="52" fillId="12" borderId="31" xfId="0" applyNumberFormat="1" applyFont="1" applyFill="1" applyBorder="1" applyAlignment="1">
      <alignment horizontal="right"/>
    </xf>
    <xf numFmtId="0" fontId="52" fillId="0" borderId="46" xfId="0" applyFont="1" applyBorder="1"/>
    <xf numFmtId="1" fontId="52" fillId="0" borderId="23" xfId="0" applyNumberFormat="1" applyFont="1" applyBorder="1"/>
    <xf numFmtId="166" fontId="52" fillId="0" borderId="47" xfId="0" applyNumberFormat="1" applyFont="1" applyBorder="1"/>
    <xf numFmtId="0" fontId="51" fillId="10" borderId="24" xfId="0" applyFont="1" applyFill="1" applyBorder="1"/>
    <xf numFmtId="173" fontId="51" fillId="10" borderId="24" xfId="0" applyNumberFormat="1" applyFont="1" applyFill="1" applyBorder="1" applyAlignment="1">
      <alignment horizontal="right"/>
    </xf>
    <xf numFmtId="1" fontId="52" fillId="0" borderId="24" xfId="0" applyNumberFormat="1" applyFont="1" applyBorder="1"/>
    <xf numFmtId="173" fontId="52" fillId="0" borderId="47" xfId="0" applyNumberFormat="1" applyFont="1" applyBorder="1"/>
    <xf numFmtId="0" fontId="52" fillId="10" borderId="25" xfId="0" applyFont="1" applyFill="1" applyBorder="1"/>
    <xf numFmtId="0" fontId="52" fillId="10" borderId="48" xfId="0" applyFont="1" applyFill="1" applyBorder="1"/>
    <xf numFmtId="0" fontId="52" fillId="0" borderId="43" xfId="0" applyFont="1" applyBorder="1" applyAlignment="1">
      <alignment horizontal="center"/>
    </xf>
    <xf numFmtId="1" fontId="52" fillId="0" borderId="21" xfId="0" applyNumberFormat="1" applyFont="1" applyBorder="1" applyAlignment="1">
      <alignment horizontal="center"/>
    </xf>
    <xf numFmtId="173" fontId="52" fillId="0" borderId="44" xfId="0" applyNumberFormat="1" applyFont="1" applyBorder="1" applyAlignment="1">
      <alignment horizontal="center"/>
    </xf>
    <xf numFmtId="173" fontId="52" fillId="12" borderId="49" xfId="0" applyNumberFormat="1" applyFont="1" applyFill="1" applyBorder="1" applyAlignment="1">
      <alignment horizontal="center"/>
    </xf>
    <xf numFmtId="0" fontId="52" fillId="0" borderId="30" xfId="0" applyFont="1" applyBorder="1"/>
    <xf numFmtId="0" fontId="52" fillId="0" borderId="50" xfId="0" applyFont="1" applyBorder="1" applyAlignment="1">
      <alignment horizontal="center"/>
    </xf>
    <xf numFmtId="1" fontId="52" fillId="0" borderId="30" xfId="0" applyNumberFormat="1" applyFont="1" applyBorder="1" applyAlignment="1">
      <alignment horizontal="center"/>
    </xf>
    <xf numFmtId="173" fontId="52" fillId="0" borderId="51" xfId="0" applyNumberFormat="1" applyFont="1" applyBorder="1" applyAlignment="1">
      <alignment horizontal="center"/>
    </xf>
    <xf numFmtId="1" fontId="52" fillId="0" borderId="30" xfId="0" applyNumberFormat="1" applyFont="1" applyBorder="1" applyAlignment="1">
      <alignment horizontal="center" vertical="center"/>
    </xf>
    <xf numFmtId="173" fontId="52" fillId="0" borderId="51" xfId="0" applyNumberFormat="1" applyFont="1" applyBorder="1"/>
    <xf numFmtId="0" fontId="52" fillId="0" borderId="50" xfId="0" applyFont="1" applyBorder="1"/>
    <xf numFmtId="1" fontId="52" fillId="0" borderId="30" xfId="0" applyNumberFormat="1" applyFont="1" applyBorder="1"/>
    <xf numFmtId="173" fontId="52" fillId="0" borderId="35" xfId="0" applyNumberFormat="1" applyFont="1" applyBorder="1"/>
    <xf numFmtId="0" fontId="52" fillId="0" borderId="17" xfId="0" applyFont="1" applyBorder="1" applyAlignment="1">
      <alignment horizontal="center"/>
    </xf>
    <xf numFmtId="0" fontId="52" fillId="10" borderId="8" xfId="0" applyFont="1" applyFill="1" applyBorder="1" applyAlignment="1">
      <alignment horizontal="center"/>
    </xf>
    <xf numFmtId="173" fontId="52" fillId="0" borderId="43" xfId="0" applyNumberFormat="1" applyFont="1" applyBorder="1" applyAlignment="1">
      <alignment horizontal="right"/>
    </xf>
    <xf numFmtId="1" fontId="52" fillId="0" borderId="21" xfId="0" applyNumberFormat="1" applyFont="1" applyBorder="1" applyAlignment="1">
      <alignment horizontal="right"/>
    </xf>
    <xf numFmtId="173" fontId="52" fillId="12" borderId="52" xfId="0" applyNumberFormat="1" applyFont="1" applyFill="1" applyBorder="1" applyAlignment="1">
      <alignment horizontal="right"/>
    </xf>
    <xf numFmtId="173" fontId="52" fillId="12" borderId="53" xfId="0" applyNumberFormat="1" applyFont="1" applyFill="1" applyBorder="1" applyAlignment="1">
      <alignment horizontal="right"/>
    </xf>
    <xf numFmtId="173" fontId="52" fillId="12" borderId="8" xfId="0" applyNumberFormat="1" applyFont="1" applyFill="1" applyBorder="1" applyAlignment="1">
      <alignment horizontal="right"/>
    </xf>
    <xf numFmtId="1" fontId="52" fillId="0" borderId="22" xfId="0" applyNumberFormat="1" applyFont="1" applyBorder="1" applyAlignment="1">
      <alignment horizontal="right"/>
    </xf>
    <xf numFmtId="173" fontId="52" fillId="12" borderId="54" xfId="0" applyNumberFormat="1" applyFont="1" applyFill="1" applyBorder="1" applyAlignment="1">
      <alignment horizontal="right"/>
    </xf>
    <xf numFmtId="173" fontId="52" fillId="0" borderId="45" xfId="0" applyNumberFormat="1" applyFont="1" applyBorder="1"/>
    <xf numFmtId="173" fontId="52" fillId="12" borderId="55" xfId="0" applyNumberFormat="1" applyFont="1" applyFill="1" applyBorder="1" applyAlignment="1">
      <alignment horizontal="right"/>
    </xf>
    <xf numFmtId="173" fontId="52" fillId="0" borderId="22" xfId="0" applyNumberFormat="1" applyFont="1" applyBorder="1"/>
    <xf numFmtId="173" fontId="52" fillId="0" borderId="46" xfId="0" applyNumberFormat="1" applyFont="1" applyBorder="1"/>
    <xf numFmtId="173" fontId="51" fillId="10" borderId="19" xfId="0" applyNumberFormat="1" applyFont="1" applyFill="1" applyBorder="1" applyAlignment="1">
      <alignment horizontal="right"/>
    </xf>
    <xf numFmtId="173" fontId="52" fillId="10" borderId="8" xfId="0" applyNumberFormat="1" applyFont="1" applyFill="1" applyBorder="1" applyAlignment="1">
      <alignment horizontal="right"/>
    </xf>
    <xf numFmtId="0" fontId="56" fillId="0" borderId="0" xfId="0" applyFont="1"/>
    <xf numFmtId="0" fontId="60" fillId="0" borderId="0" xfId="0" applyFont="1"/>
    <xf numFmtId="0" fontId="61" fillId="0" borderId="0" xfId="0" applyFont="1"/>
    <xf numFmtId="0" fontId="55" fillId="0" borderId="8" xfId="0" applyFont="1" applyBorder="1" applyAlignment="1">
      <alignment vertical="center"/>
    </xf>
    <xf numFmtId="0" fontId="55" fillId="13" borderId="8" xfId="0" applyFont="1" applyFill="1" applyBorder="1" applyAlignment="1">
      <alignment vertical="center"/>
    </xf>
    <xf numFmtId="0" fontId="62" fillId="0" borderId="0" xfId="0" applyFont="1"/>
    <xf numFmtId="0" fontId="63" fillId="0" borderId="0" xfId="0" applyFont="1" applyAlignment="1">
      <alignment horizontal="center"/>
    </xf>
    <xf numFmtId="0" fontId="73" fillId="7" borderId="8" xfId="0" applyFont="1" applyFill="1" applyBorder="1" applyAlignment="1">
      <alignment horizontal="center" vertical="center" wrapText="1"/>
    </xf>
    <xf numFmtId="0" fontId="71" fillId="0" borderId="8" xfId="1" applyBorder="1" applyAlignment="1">
      <alignment horizontal="center" vertical="center" wrapText="1"/>
    </xf>
    <xf numFmtId="0" fontId="74" fillId="0" borderId="8" xfId="0" applyFont="1" applyBorder="1" applyAlignment="1">
      <alignment horizontal="center" vertical="center" wrapText="1"/>
    </xf>
    <xf numFmtId="0" fontId="71" fillId="7" borderId="8" xfId="1" applyFill="1" applyBorder="1" applyAlignment="1">
      <alignment horizontal="center" vertical="center" wrapText="1"/>
    </xf>
    <xf numFmtId="0" fontId="73" fillId="0" borderId="8" xfId="0" applyFont="1" applyBorder="1" applyAlignment="1">
      <alignment horizontal="center" vertical="center" wrapText="1"/>
    </xf>
    <xf numFmtId="0" fontId="75" fillId="0" borderId="22" xfId="0" applyFont="1" applyBorder="1" applyAlignment="1">
      <alignment vertical="center" wrapText="1"/>
    </xf>
    <xf numFmtId="0" fontId="75" fillId="0" borderId="21" xfId="0" applyFont="1" applyBorder="1"/>
    <xf numFmtId="0" fontId="75" fillId="0" borderId="52" xfId="0" applyFont="1" applyBorder="1"/>
    <xf numFmtId="0" fontId="51" fillId="10" borderId="48" xfId="0" applyFont="1" applyFill="1" applyBorder="1"/>
    <xf numFmtId="0" fontId="72" fillId="0" borderId="64" xfId="0" applyFont="1" applyBorder="1"/>
    <xf numFmtId="3" fontId="72" fillId="0" borderId="0" xfId="0" applyNumberFormat="1" applyFont="1"/>
    <xf numFmtId="0" fontId="75" fillId="0" borderId="22" xfId="0" applyFont="1" applyBorder="1"/>
    <xf numFmtId="0" fontId="52" fillId="0" borderId="52" xfId="0" applyFont="1" applyBorder="1" applyAlignment="1">
      <alignment horizontal="center"/>
    </xf>
    <xf numFmtId="0" fontId="52" fillId="0" borderId="17" xfId="0" applyFont="1" applyBorder="1"/>
    <xf numFmtId="0" fontId="52" fillId="0" borderId="55" xfId="0" applyFont="1" applyBorder="1"/>
    <xf numFmtId="0" fontId="52" fillId="0" borderId="58" xfId="0" applyFont="1" applyBorder="1"/>
    <xf numFmtId="0" fontId="76" fillId="0" borderId="64" xfId="0" applyFont="1" applyBorder="1" applyAlignment="1">
      <alignment horizontal="left"/>
    </xf>
    <xf numFmtId="0" fontId="77" fillId="0" borderId="64" xfId="0" applyFont="1" applyBorder="1" applyAlignment="1">
      <alignment horizontal="left" vertical="center" wrapText="1"/>
    </xf>
    <xf numFmtId="0" fontId="52" fillId="0" borderId="64" xfId="0" applyFont="1" applyBorder="1"/>
    <xf numFmtId="0" fontId="0" fillId="0" borderId="64" xfId="0" applyBorder="1"/>
    <xf numFmtId="0" fontId="59" fillId="16" borderId="8" xfId="0" applyFont="1" applyFill="1" applyBorder="1" applyAlignment="1">
      <alignment horizontal="center" vertical="center"/>
    </xf>
    <xf numFmtId="166" fontId="59" fillId="17" borderId="61" xfId="0" applyNumberFormat="1" applyFont="1" applyFill="1" applyBorder="1" applyAlignment="1">
      <alignment horizontal="center" vertical="center"/>
    </xf>
    <xf numFmtId="166" fontId="59" fillId="17" borderId="62" xfId="0" applyNumberFormat="1" applyFont="1" applyFill="1" applyBorder="1" applyAlignment="1">
      <alignment horizontal="center" vertical="center"/>
    </xf>
    <xf numFmtId="166" fontId="64" fillId="17" borderId="63" xfId="0" applyNumberFormat="1" applyFont="1" applyFill="1" applyBorder="1" applyAlignment="1">
      <alignment horizontal="center" vertical="center"/>
    </xf>
    <xf numFmtId="0" fontId="80" fillId="0" borderId="8" xfId="0" applyFont="1" applyBorder="1" applyAlignment="1">
      <alignment horizontal="center" vertical="center" wrapText="1"/>
    </xf>
    <xf numFmtId="0" fontId="81" fillId="0" borderId="8" xfId="0" applyFont="1" applyBorder="1" applyAlignment="1">
      <alignment horizontal="center" vertical="center" wrapText="1"/>
    </xf>
    <xf numFmtId="0" fontId="81" fillId="0" borderId="8" xfId="0" applyFont="1" applyBorder="1" applyAlignment="1">
      <alignment horizontal="center" vertical="center"/>
    </xf>
    <xf numFmtId="166" fontId="81" fillId="0" borderId="8" xfId="0" applyNumberFormat="1" applyFont="1" applyBorder="1" applyAlignment="1">
      <alignment horizontal="center" vertical="center"/>
    </xf>
    <xf numFmtId="166" fontId="82" fillId="0" borderId="8" xfId="0" applyNumberFormat="1" applyFont="1" applyBorder="1" applyAlignment="1">
      <alignment horizontal="center" vertical="center" wrapText="1"/>
    </xf>
    <xf numFmtId="0" fontId="81" fillId="7" borderId="8" xfId="0" applyFont="1" applyFill="1" applyBorder="1" applyAlignment="1">
      <alignment horizontal="center" vertical="center" wrapText="1"/>
    </xf>
    <xf numFmtId="0" fontId="81" fillId="7" borderId="5" xfId="0" applyFont="1" applyFill="1" applyBorder="1" applyAlignment="1">
      <alignment horizontal="center" vertical="center" wrapText="1"/>
    </xf>
    <xf numFmtId="0" fontId="81" fillId="7" borderId="8" xfId="0" applyFont="1" applyFill="1" applyBorder="1" applyAlignment="1">
      <alignment horizontal="center" vertical="center"/>
    </xf>
    <xf numFmtId="166" fontId="81" fillId="7" borderId="8" xfId="0" applyNumberFormat="1" applyFont="1" applyFill="1" applyBorder="1" applyAlignment="1">
      <alignment horizontal="center" vertical="center"/>
    </xf>
    <xf numFmtId="166" fontId="82" fillId="7" borderId="8" xfId="0" applyNumberFormat="1" applyFont="1" applyFill="1" applyBorder="1" applyAlignment="1">
      <alignment horizontal="center" vertical="center" wrapText="1"/>
    </xf>
    <xf numFmtId="174" fontId="82" fillId="0" borderId="8" xfId="0" applyNumberFormat="1" applyFont="1" applyBorder="1" applyAlignment="1">
      <alignment horizontal="center" vertical="center" wrapText="1"/>
    </xf>
    <xf numFmtId="166" fontId="81" fillId="0" borderId="8" xfId="0" applyNumberFormat="1" applyFont="1" applyBorder="1" applyAlignment="1">
      <alignment horizontal="center" vertical="center" wrapText="1"/>
    </xf>
    <xf numFmtId="0" fontId="72" fillId="18" borderId="64" xfId="0" applyFont="1" applyFill="1" applyBorder="1"/>
    <xf numFmtId="0" fontId="0" fillId="19" borderId="64" xfId="0" applyFill="1" applyBorder="1" applyAlignment="1">
      <alignment horizontal="center" vertical="center"/>
    </xf>
    <xf numFmtId="173" fontId="0" fillId="19" borderId="64" xfId="0" applyNumberFormat="1" applyFill="1" applyBorder="1" applyAlignment="1">
      <alignment horizontal="center" vertical="center"/>
    </xf>
    <xf numFmtId="44" fontId="0" fillId="19" borderId="64" xfId="0" applyNumberFormat="1" applyFill="1" applyBorder="1" applyAlignment="1">
      <alignment horizontal="center" vertical="center"/>
    </xf>
    <xf numFmtId="0" fontId="0" fillId="0" borderId="0" xfId="0" applyAlignment="1">
      <alignment horizontal="center" vertical="center"/>
    </xf>
    <xf numFmtId="0" fontId="84" fillId="7" borderId="8" xfId="0" applyFont="1" applyFill="1" applyBorder="1" applyAlignment="1">
      <alignment horizontal="center" vertical="center" wrapText="1"/>
    </xf>
    <xf numFmtId="0" fontId="75" fillId="0" borderId="17" xfId="0" applyFont="1" applyBorder="1" applyAlignment="1">
      <alignment horizontal="center" vertical="center"/>
    </xf>
    <xf numFmtId="173" fontId="52" fillId="12" borderId="49" xfId="0" applyNumberFormat="1" applyFont="1" applyFill="1" applyBorder="1" applyAlignment="1">
      <alignment horizontal="center" vertical="center"/>
    </xf>
    <xf numFmtId="0" fontId="51" fillId="10" borderId="19" xfId="0" applyFont="1" applyFill="1" applyBorder="1" applyAlignment="1">
      <alignment horizontal="center"/>
    </xf>
    <xf numFmtId="0" fontId="3" fillId="0" borderId="38" xfId="0" applyFont="1" applyBorder="1"/>
    <xf numFmtId="0" fontId="3" fillId="0" borderId="20" xfId="0" applyFont="1" applyBorder="1"/>
    <xf numFmtId="0" fontId="83" fillId="18" borderId="65" xfId="0" applyFont="1" applyFill="1" applyBorder="1" applyAlignment="1">
      <alignment horizontal="center"/>
    </xf>
    <xf numFmtId="0" fontId="83" fillId="18" borderId="66" xfId="0" applyFont="1" applyFill="1" applyBorder="1" applyAlignment="1">
      <alignment horizontal="center"/>
    </xf>
    <xf numFmtId="0" fontId="72" fillId="19" borderId="66" xfId="0" applyFont="1" applyFill="1" applyBorder="1" applyAlignment="1">
      <alignment horizontal="center"/>
    </xf>
    <xf numFmtId="0" fontId="0" fillId="19" borderId="66" xfId="0" applyFill="1" applyBorder="1" applyAlignment="1">
      <alignment horizontal="center"/>
    </xf>
    <xf numFmtId="0" fontId="0" fillId="19" borderId="67" xfId="0"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8" fillId="0" borderId="0" xfId="0" applyFont="1" applyAlignment="1">
      <alignment horizontal="center" vertical="center"/>
    </xf>
    <xf numFmtId="0" fontId="0" fillId="0" borderId="0" xfId="0"/>
    <xf numFmtId="0" fontId="8" fillId="3"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9" fillId="0" borderId="5" xfId="0" applyFont="1" applyBorder="1" applyAlignment="1">
      <alignment horizontal="left" vertical="center" wrapText="1"/>
    </xf>
    <xf numFmtId="0" fontId="36" fillId="9" borderId="5" xfId="0" applyFont="1" applyFill="1" applyBorder="1" applyAlignment="1">
      <alignment horizontal="center" vertical="center"/>
    </xf>
    <xf numFmtId="0" fontId="36" fillId="9" borderId="16" xfId="0" applyFont="1" applyFill="1" applyBorder="1" applyAlignment="1">
      <alignment horizontal="center" vertical="center"/>
    </xf>
    <xf numFmtId="0" fontId="3" fillId="0" borderId="17" xfId="0" applyFont="1" applyBorder="1"/>
    <xf numFmtId="0" fontId="3" fillId="0" borderId="18" xfId="0" applyFont="1" applyBorder="1"/>
    <xf numFmtId="0" fontId="52" fillId="11" borderId="19" xfId="0" applyFont="1" applyFill="1" applyBorder="1" applyAlignment="1">
      <alignment horizontal="center"/>
    </xf>
    <xf numFmtId="0" fontId="51" fillId="10" borderId="27" xfId="0" applyFont="1" applyFill="1" applyBorder="1" applyAlignment="1">
      <alignment horizontal="center"/>
    </xf>
    <xf numFmtId="0" fontId="3" fillId="0" borderId="28" xfId="0" applyFont="1" applyBorder="1"/>
    <xf numFmtId="0" fontId="51" fillId="10" borderId="36" xfId="0" applyFont="1" applyFill="1" applyBorder="1" applyAlignment="1">
      <alignment horizontal="center"/>
    </xf>
    <xf numFmtId="0" fontId="3" fillId="0" borderId="37" xfId="0" applyFont="1" applyBorder="1"/>
    <xf numFmtId="0" fontId="51" fillId="10" borderId="41" xfId="0" applyFont="1" applyFill="1" applyBorder="1" applyAlignment="1">
      <alignment horizontal="center"/>
    </xf>
    <xf numFmtId="0" fontId="3" fillId="0" borderId="42" xfId="0" applyFont="1" applyBorder="1"/>
    <xf numFmtId="0" fontId="76" fillId="10" borderId="19" xfId="0" applyFont="1" applyFill="1" applyBorder="1" applyAlignment="1">
      <alignment horizontal="center"/>
    </xf>
    <xf numFmtId="0" fontId="79" fillId="0" borderId="5" xfId="0" applyFont="1" applyBorder="1" applyAlignment="1">
      <alignment horizontal="left" vertical="center"/>
    </xf>
    <xf numFmtId="0" fontId="55" fillId="0" borderId="5" xfId="0" applyFont="1" applyBorder="1" applyAlignment="1">
      <alignment horizontal="left" vertical="center"/>
    </xf>
    <xf numFmtId="0" fontId="64" fillId="17" borderId="60" xfId="0" applyFont="1" applyFill="1" applyBorder="1" applyAlignment="1">
      <alignment horizontal="center" vertical="center"/>
    </xf>
    <xf numFmtId="0" fontId="3" fillId="15" borderId="61" xfId="0" applyFont="1" applyFill="1" applyBorder="1"/>
    <xf numFmtId="0" fontId="55" fillId="0" borderId="11" xfId="0" applyFont="1" applyBorder="1" applyAlignment="1">
      <alignment horizontal="center" vertical="center"/>
    </xf>
    <xf numFmtId="0" fontId="3" fillId="0" borderId="14" xfId="0" applyFont="1" applyBorder="1"/>
    <xf numFmtId="0" fontId="55" fillId="0" borderId="57" xfId="0" applyFont="1" applyBorder="1" applyAlignment="1">
      <alignment horizontal="center" vertical="center"/>
    </xf>
    <xf numFmtId="0" fontId="3" fillId="0" borderId="58" xfId="0" applyFont="1" applyBorder="1"/>
    <xf numFmtId="0" fontId="3" fillId="0" borderId="59" xfId="0" applyFont="1" applyBorder="1"/>
    <xf numFmtId="0" fontId="3" fillId="0" borderId="16" xfId="0" applyFont="1" applyBorder="1"/>
    <xf numFmtId="0" fontId="55" fillId="13" borderId="5" xfId="0" applyFont="1" applyFill="1" applyBorder="1" applyAlignment="1">
      <alignment horizontal="left" vertical="center"/>
    </xf>
    <xf numFmtId="164" fontId="55" fillId="0" borderId="57" xfId="0" applyNumberFormat="1" applyFont="1" applyBorder="1" applyAlignment="1">
      <alignment horizontal="center" vertical="center"/>
    </xf>
    <xf numFmtId="0" fontId="79" fillId="13" borderId="5" xfId="0" applyFont="1" applyFill="1" applyBorder="1" applyAlignment="1">
      <alignment horizontal="left" vertical="center"/>
    </xf>
    <xf numFmtId="0" fontId="57" fillId="14" borderId="5" xfId="0" applyFont="1" applyFill="1" applyBorder="1" applyAlignment="1">
      <alignment horizontal="center"/>
    </xf>
    <xf numFmtId="0" fontId="3" fillId="15" borderId="6" xfId="0" applyFont="1" applyFill="1" applyBorder="1"/>
    <xf numFmtId="0" fontId="3" fillId="15" borderId="7" xfId="0" applyFont="1" applyFill="1" applyBorder="1"/>
    <xf numFmtId="0" fontId="58" fillId="0" borderId="11" xfId="0" applyFont="1" applyBorder="1"/>
    <xf numFmtId="0" fontId="3" fillId="0" borderId="56" xfId="0" applyFont="1" applyBorder="1"/>
    <xf numFmtId="0" fontId="78" fillId="7" borderId="5" xfId="0" applyFont="1" applyFill="1" applyBorder="1" applyAlignment="1">
      <alignment horizontal="left" vertical="center"/>
    </xf>
    <xf numFmtId="0" fontId="85" fillId="0" borderId="40" xfId="0" applyFont="1" applyBorder="1"/>
    <xf numFmtId="0" fontId="51" fillId="10" borderId="25" xfId="0" applyFont="1" applyFill="1" applyBorder="1" applyAlignment="1">
      <alignment horizontal="center" vertical="center"/>
    </xf>
    <xf numFmtId="0" fontId="52" fillId="12" borderId="22" xfId="0" applyFont="1" applyFill="1" applyBorder="1" applyAlignment="1">
      <alignment horizontal="left" vertical="center"/>
    </xf>
    <xf numFmtId="173" fontId="52" fillId="12" borderId="22" xfId="0" applyNumberFormat="1" applyFont="1" applyFill="1" applyBorder="1" applyAlignment="1">
      <alignment horizontal="right" vertical="center"/>
    </xf>
    <xf numFmtId="0" fontId="51" fillId="10" borderId="25" xfId="0" applyFont="1" applyFill="1" applyBorder="1" applyAlignment="1">
      <alignment horizontal="left" vertical="center"/>
    </xf>
    <xf numFmtId="173" fontId="51" fillId="10" borderId="25" xfId="0" applyNumberFormat="1"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microsoft.com/office/2022/10/relationships/richValueRel" Target="richData/richValueRel.xml"/><Relationship Id="rId30"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pe_Eth\Documents\Costos%20Proyecto%20(1)%20(1).xlsx" TargetMode="External"/><Relationship Id="rId1" Type="http://schemas.openxmlformats.org/officeDocument/2006/relationships/externalLinkPath" Target="Costos%20Proyecto%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isis de Mercado"/>
      <sheetName val="Estructura de Mercado"/>
      <sheetName val="Datos Economicos"/>
      <sheetName val="ParaFiscales"/>
      <sheetName val="Gastos de Constitución"/>
      <sheetName val="Plan de Inversion"/>
      <sheetName val="Gastos de Personal"/>
      <sheetName val="Gastos Administrativos"/>
      <sheetName val="Gastos de Marketing"/>
      <sheetName val="Producto 1"/>
      <sheetName val="Producto 2"/>
      <sheetName val="Producto 3"/>
      <sheetName val="Producto 4"/>
      <sheetName val="Comportamiento de Ventas"/>
      <sheetName val="Comportamiento de Compras"/>
      <sheetName val="Costos del Proyecto"/>
    </sheetNames>
    <sheetDataSet>
      <sheetData sheetId="0"/>
      <sheetData sheetId="1"/>
      <sheetData sheetId="2"/>
      <sheetData sheetId="3"/>
      <sheetData sheetId="4"/>
      <sheetData sheetId="5"/>
      <sheetData sheetId="6">
        <row r="36">
          <cell r="C36">
            <v>3593100</v>
          </cell>
        </row>
      </sheetData>
      <sheetData sheetId="7">
        <row r="16">
          <cell r="D16">
            <v>1340000</v>
          </cell>
        </row>
      </sheetData>
      <sheetData sheetId="8"/>
      <sheetData sheetId="9"/>
      <sheetData sheetId="10"/>
      <sheetData sheetId="11"/>
      <sheetData sheetId="12"/>
      <sheetData sheetId="13"/>
      <sheetData sheetId="14"/>
      <sheetData sheetId="1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1" Type="http://schemas.openxmlformats.org/officeDocument/2006/relationships/hyperlink" Target="https://www.ktronix.com/computador-portatil-lenovo-ideapad-slim-3-153-pulgadas/p/198155958762"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falabella.com.co/falabella-co/product/126378737/Memoria-ram-crucial-ddr4-16gb-3200mhz-portatil/126378738"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1" Type="http://schemas.openxmlformats.org/officeDocument/2006/relationships/hyperlink" Target="https://www.falabella.com.co/falabella-co/product/127667703/Mouse-Logitech-M650-INALAMBRICO-GRIS/12766770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2" Type="http://schemas.openxmlformats.org/officeDocument/2006/relationships/hyperlink" Target="https://www.mercadolibre.com.co/lenovo-v15-g4-156---core-i5-13a-generacion-16gb-ssd-1tb/up/MCOU3037567568?pdp_filters=item_id:MCO1547114667" TargetMode="External"/><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digitalocean.com/pricing" TargetMode="External"/><Relationship Id="rId13" Type="http://schemas.openxmlformats.org/officeDocument/2006/relationships/hyperlink" Target="https://www.digitalocean.com/pricing/app-platform" TargetMode="External"/><Relationship Id="rId18" Type="http://schemas.openxmlformats.org/officeDocument/2006/relationships/hyperlink" Target="https://vercel.com/pricing" TargetMode="External"/><Relationship Id="rId3" Type="http://schemas.openxmlformats.org/officeDocument/2006/relationships/hyperlink" Target="https://cloud.google.com/appengine/pricing?hl=es" TargetMode="External"/><Relationship Id="rId21" Type="http://schemas.openxmlformats.org/officeDocument/2006/relationships/hyperlink" Target="https://appwrite.io/pricing" TargetMode="External"/><Relationship Id="rId7" Type="http://schemas.openxmlformats.org/officeDocument/2006/relationships/hyperlink" Target="https://aws.amazon.com/es/ec2/pricing/" TargetMode="External"/><Relationship Id="rId12" Type="http://schemas.openxmlformats.org/officeDocument/2006/relationships/hyperlink" Target="https://www.salesforce.com/eu/small-business/pricing/" TargetMode="External"/><Relationship Id="rId17" Type="http://schemas.openxmlformats.org/officeDocument/2006/relationships/hyperlink" Target="https://cloud.google.com/pricing?hl=es" TargetMode="External"/><Relationship Id="rId2" Type="http://schemas.openxmlformats.org/officeDocument/2006/relationships/hyperlink" Target="https://azure.microsoft.com/es-es/pricing/details/app-service/linux/" TargetMode="External"/><Relationship Id="rId16" Type="http://schemas.openxmlformats.org/officeDocument/2006/relationships/hyperlink" Target="https://workers.cloudflare.com/es-es/pricing" TargetMode="External"/><Relationship Id="rId20" Type="http://schemas.openxmlformats.org/officeDocument/2006/relationships/hyperlink" Target="https://firebase.google.com/pricing?hl=es-419" TargetMode="External"/><Relationship Id="rId1" Type="http://schemas.openxmlformats.org/officeDocument/2006/relationships/hyperlink" Target="https://www.heroku.com/pricing/" TargetMode="External"/><Relationship Id="rId6" Type="http://schemas.openxmlformats.org/officeDocument/2006/relationships/hyperlink" Target="https://www.oracle.com/autonomous-database/pricing/?source=:ow:o:p:mt:::ODBHeader_latam" TargetMode="External"/><Relationship Id="rId11" Type="http://schemas.openxmlformats.org/officeDocument/2006/relationships/hyperlink" Target="https://www.microsoft.com/es-co/microsoft-365/business/microsoft-365-plans-and-pricing" TargetMode="External"/><Relationship Id="rId24" Type="http://schemas.openxmlformats.org/officeDocument/2006/relationships/hyperlink" Target="https://cloud.google.com/looker?hl=es" TargetMode="External"/><Relationship Id="rId5" Type="http://schemas.openxmlformats.org/officeDocument/2006/relationships/hyperlink" Target="https://www.mongodb.com/pricing" TargetMode="External"/><Relationship Id="rId15" Type="http://schemas.openxmlformats.org/officeDocument/2006/relationships/hyperlink" Target="https://azure.microsoft.com/es-es/pricing/details/openshift/" TargetMode="External"/><Relationship Id="rId23" Type="http://schemas.openxmlformats.org/officeDocument/2006/relationships/hyperlink" Target="https://www.microsoft.com/es-es/power-platform/products/power-bi/pricing" TargetMode="External"/><Relationship Id="rId10" Type="http://schemas.openxmlformats.org/officeDocument/2006/relationships/hyperlink" Target="https://www.zoho.com/es-xl/crm/zohocrm-pricing.html" TargetMode="External"/><Relationship Id="rId19" Type="http://schemas.openxmlformats.org/officeDocument/2006/relationships/hyperlink" Target="https://supabase.com/pricing"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14" Type="http://schemas.openxmlformats.org/officeDocument/2006/relationships/hyperlink" Target="https://aws.amazon.com/es/fargate/pricing/" TargetMode="External"/><Relationship Id="rId22" Type="http://schemas.openxmlformats.org/officeDocument/2006/relationships/hyperlink" Target="https://www.tableau.com/prici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falabella.com.co/falabella-co/product/145587591/Monitor-Dell-P2425H-238%E2%80%9D-FHD/145587592" TargetMode="External"/><Relationship Id="rId12" Type="http://schemas.openxmlformats.org/officeDocument/2006/relationships/hyperlink" Target="https://dortania.github.io/OpenCore-Install-Guide/"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5" Type="http://schemas.openxmlformats.org/officeDocument/2006/relationships/hyperlink" Target="https://www.mercadolibre.com.co/unidad-de-estado-solido-ssd-m2-500gb-kingston-nv2-pcie-40-nvme-snv2s500g/p/MCO19807863" TargetMode="External"/><Relationship Id="rId10" Type="http://schemas.openxmlformats.org/officeDocument/2006/relationships/hyperlink" Target="https://ubuntu.com/download/desktop"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9"/>
  <sheetViews>
    <sheetView workbookViewId="0">
      <selection activeCell="E8" sqref="E8"/>
    </sheetView>
  </sheetViews>
  <sheetFormatPr baseColWidth="10" defaultColWidth="12.6640625" defaultRowHeight="15" customHeight="1"/>
  <cols>
    <col min="1" max="1" width="2.88671875" customWidth="1"/>
    <col min="2" max="14" width="14.77734375" customWidth="1"/>
  </cols>
  <sheetData>
    <row r="1" spans="1:14" ht="13.2">
      <c r="A1" s="1"/>
      <c r="B1" s="1"/>
      <c r="C1" s="1"/>
      <c r="D1" s="1"/>
      <c r="E1" s="1"/>
      <c r="F1" s="1"/>
      <c r="G1" s="1"/>
      <c r="H1" s="1"/>
      <c r="I1" s="1"/>
      <c r="J1" s="1"/>
      <c r="K1" s="1"/>
      <c r="L1" s="1"/>
      <c r="M1" s="1"/>
      <c r="N1" s="1"/>
    </row>
    <row r="2" spans="1:14" ht="13.2">
      <c r="A2" s="1"/>
      <c r="B2" s="2"/>
      <c r="C2" s="2"/>
      <c r="D2" s="2"/>
      <c r="E2" s="2"/>
      <c r="F2" s="2"/>
      <c r="G2" s="2"/>
      <c r="H2" s="2"/>
      <c r="I2" s="2"/>
      <c r="J2" s="2"/>
      <c r="K2" s="2"/>
      <c r="L2" s="2"/>
      <c r="M2" s="2"/>
      <c r="N2" s="2"/>
    </row>
    <row r="3" spans="1:14" ht="13.2">
      <c r="A3" s="1"/>
      <c r="B3" s="2"/>
      <c r="C3" s="2"/>
      <c r="D3" s="2"/>
      <c r="E3" s="2"/>
      <c r="F3" s="2"/>
      <c r="G3" s="2"/>
      <c r="H3" s="2"/>
      <c r="I3" s="2"/>
      <c r="J3" s="2"/>
      <c r="K3" s="2"/>
      <c r="L3" s="2"/>
      <c r="M3" s="2"/>
      <c r="N3" s="2"/>
    </row>
    <row r="4" spans="1:14" ht="36" customHeight="1">
      <c r="A4" s="1"/>
      <c r="B4" s="284" t="s">
        <v>0</v>
      </c>
      <c r="C4" s="285"/>
      <c r="D4" s="285"/>
      <c r="E4" s="285"/>
      <c r="F4" s="285"/>
      <c r="G4" s="285"/>
      <c r="H4" s="285"/>
      <c r="I4" s="285"/>
      <c r="J4" s="285"/>
      <c r="K4" s="285"/>
      <c r="L4" s="285"/>
      <c r="M4" s="286"/>
      <c r="N4" s="2"/>
    </row>
    <row r="5" spans="1:14" ht="13.2">
      <c r="A5" s="1"/>
      <c r="B5" s="2"/>
      <c r="C5" s="2"/>
      <c r="D5" s="2"/>
      <c r="E5" s="2"/>
      <c r="F5" s="2"/>
      <c r="G5" s="2"/>
      <c r="H5" s="2"/>
      <c r="I5" s="2"/>
      <c r="J5" s="2"/>
      <c r="K5" s="2"/>
      <c r="L5" s="2"/>
      <c r="M5" s="2"/>
      <c r="N5" s="2"/>
    </row>
    <row r="6" spans="1:14" ht="13.2">
      <c r="A6" s="1"/>
      <c r="B6" s="2"/>
      <c r="C6" s="2"/>
      <c r="D6" s="2"/>
      <c r="E6" s="2"/>
      <c r="F6" s="2"/>
      <c r="G6" s="2"/>
      <c r="H6" s="2"/>
      <c r="I6" s="2"/>
      <c r="J6" s="2"/>
      <c r="K6" s="2"/>
      <c r="L6" s="2"/>
      <c r="M6" s="2"/>
      <c r="N6" s="2"/>
    </row>
    <row r="7" spans="1:14" ht="15" customHeight="1">
      <c r="A7" s="1"/>
      <c r="B7" s="2"/>
      <c r="C7" s="3"/>
      <c r="D7" s="3"/>
      <c r="E7" s="3"/>
      <c r="F7" s="3"/>
      <c r="G7" s="3"/>
      <c r="H7" s="2"/>
      <c r="I7" s="2"/>
      <c r="J7" s="2"/>
      <c r="K7" s="2"/>
      <c r="L7" s="2"/>
      <c r="M7" s="2"/>
      <c r="N7" s="2"/>
    </row>
    <row r="8" spans="1:14" ht="41.25" customHeight="1">
      <c r="A8" s="1"/>
      <c r="B8" s="2"/>
      <c r="C8" s="4" t="s">
        <v>1</v>
      </c>
      <c r="D8" s="3"/>
      <c r="E8" s="3" t="s">
        <v>564</v>
      </c>
      <c r="F8" s="3"/>
      <c r="G8" s="3"/>
      <c r="H8" s="2"/>
      <c r="I8" s="2"/>
      <c r="J8" s="2"/>
      <c r="K8" s="2"/>
      <c r="L8" s="2"/>
      <c r="M8" s="2"/>
      <c r="N8" s="2"/>
    </row>
    <row r="9" spans="1:14" ht="27.75" customHeight="1">
      <c r="A9" s="1"/>
      <c r="B9" s="2"/>
      <c r="C9" s="3"/>
      <c r="D9" s="3"/>
      <c r="E9" s="3"/>
      <c r="F9" s="3"/>
      <c r="G9" s="3"/>
      <c r="H9" s="2"/>
      <c r="I9" s="2"/>
      <c r="J9" s="2"/>
      <c r="K9" s="2"/>
      <c r="L9" s="2"/>
      <c r="M9" s="2"/>
      <c r="N9" s="2"/>
    </row>
    <row r="10" spans="1:14" ht="32.25" customHeight="1">
      <c r="A10" s="1"/>
      <c r="B10" s="2"/>
      <c r="C10" s="4" t="s">
        <v>2</v>
      </c>
      <c r="D10" s="4"/>
      <c r="E10" s="3"/>
      <c r="F10" s="3"/>
      <c r="G10" s="3"/>
      <c r="H10" s="2"/>
      <c r="I10" s="2"/>
      <c r="J10" s="2"/>
      <c r="K10" s="2"/>
      <c r="L10" s="2"/>
      <c r="M10" s="2"/>
      <c r="N10" s="2"/>
    </row>
    <row r="11" spans="1:14" ht="15" customHeight="1">
      <c r="A11" s="1"/>
      <c r="B11" s="2"/>
      <c r="C11" s="2"/>
      <c r="D11" s="2"/>
      <c r="E11" s="2"/>
      <c r="F11" s="5"/>
      <c r="G11" s="2"/>
      <c r="H11" s="2"/>
      <c r="I11" s="2"/>
      <c r="J11" s="2"/>
      <c r="K11" s="2"/>
      <c r="L11" s="2"/>
      <c r="M11" s="2"/>
      <c r="N11" s="2"/>
    </row>
    <row r="12" spans="1:14" ht="34.5" customHeight="1">
      <c r="A12" s="1"/>
      <c r="B12" s="2"/>
      <c r="C12" s="2"/>
      <c r="D12" s="2"/>
      <c r="E12" s="2"/>
      <c r="F12" s="4"/>
      <c r="G12" s="2"/>
      <c r="H12" s="2"/>
      <c r="I12" s="2"/>
      <c r="J12" s="2"/>
      <c r="K12" s="2"/>
      <c r="L12" s="2"/>
      <c r="M12" s="2"/>
      <c r="N12" s="2"/>
    </row>
    <row r="13" spans="1:14" ht="22.5" customHeight="1">
      <c r="A13" s="1"/>
      <c r="B13" s="2"/>
      <c r="C13" s="2"/>
      <c r="D13" s="2"/>
      <c r="E13" s="2"/>
      <c r="F13" s="6" t="s">
        <v>3</v>
      </c>
      <c r="G13" s="2"/>
      <c r="H13" s="2"/>
      <c r="I13" s="2"/>
      <c r="J13" s="2"/>
      <c r="K13" s="2"/>
      <c r="L13" s="2"/>
      <c r="M13" s="2"/>
      <c r="N13" s="2"/>
    </row>
    <row r="14" spans="1:14" ht="15" customHeight="1">
      <c r="A14" s="1"/>
      <c r="B14" s="2"/>
      <c r="C14" s="2"/>
      <c r="D14" s="2"/>
      <c r="E14" s="2"/>
      <c r="F14" s="7"/>
      <c r="G14" s="2"/>
      <c r="H14" s="2"/>
      <c r="I14" s="2"/>
      <c r="J14" s="2"/>
      <c r="K14" s="2"/>
      <c r="L14" s="2"/>
      <c r="M14" s="2"/>
      <c r="N14" s="2"/>
    </row>
    <row r="15" spans="1:14" ht="15" customHeight="1">
      <c r="A15" s="1"/>
      <c r="B15" s="2"/>
      <c r="C15" s="2"/>
      <c r="D15" s="2"/>
      <c r="E15" s="2"/>
      <c r="F15" s="7"/>
      <c r="G15" s="2"/>
      <c r="H15" s="2"/>
      <c r="I15" s="2"/>
      <c r="J15" s="2"/>
      <c r="K15" s="2"/>
      <c r="L15" s="2"/>
      <c r="M15" s="2"/>
      <c r="N15" s="2"/>
    </row>
    <row r="16" spans="1:14" ht="13.2">
      <c r="A16" s="1"/>
      <c r="B16" s="2"/>
      <c r="C16" s="2"/>
      <c r="D16" s="2"/>
      <c r="E16" s="2"/>
      <c r="F16" s="2"/>
      <c r="G16" s="2"/>
      <c r="H16" s="2"/>
      <c r="I16" s="2"/>
      <c r="J16" s="2"/>
      <c r="K16" s="2"/>
      <c r="L16" s="2"/>
      <c r="M16" s="2"/>
      <c r="N16" s="2"/>
    </row>
    <row r="17" spans="1:14" ht="13.2">
      <c r="A17" s="1"/>
      <c r="B17" s="2"/>
      <c r="C17" s="2"/>
      <c r="D17" s="2"/>
      <c r="E17" s="2"/>
      <c r="F17" s="2"/>
      <c r="G17" s="2"/>
      <c r="H17" s="2"/>
      <c r="I17" s="2"/>
      <c r="J17" s="2"/>
      <c r="K17" s="2"/>
      <c r="L17" s="2"/>
      <c r="M17" s="2"/>
      <c r="N17" s="2"/>
    </row>
    <row r="18" spans="1:14" ht="13.2">
      <c r="A18" s="1"/>
      <c r="B18" s="2"/>
      <c r="C18" s="2"/>
      <c r="D18" s="2"/>
      <c r="E18" s="2"/>
      <c r="F18" s="2"/>
      <c r="G18" s="2"/>
      <c r="H18" s="2"/>
      <c r="I18" s="2"/>
      <c r="J18" s="2"/>
      <c r="K18" s="2"/>
      <c r="L18" s="2"/>
      <c r="M18" s="2"/>
      <c r="N18" s="2"/>
    </row>
    <row r="19" spans="1:14" ht="13.2">
      <c r="A19" s="1"/>
      <c r="B19" s="2"/>
      <c r="C19" s="2"/>
      <c r="D19" s="2"/>
      <c r="E19" s="2"/>
      <c r="F19" s="2"/>
      <c r="G19" s="2"/>
      <c r="H19" s="2"/>
      <c r="I19" s="2"/>
      <c r="J19" s="2"/>
      <c r="K19" s="2"/>
      <c r="L19" s="2"/>
      <c r="M19" s="2"/>
      <c r="N19" s="2"/>
    </row>
  </sheetData>
  <mergeCells count="1">
    <mergeCell ref="B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B7" workbookViewId="0">
      <selection activeCell="E8" sqref="E8"/>
    </sheetView>
  </sheetViews>
  <sheetFormatPr baseColWidth="10" defaultColWidth="12.6640625" defaultRowHeight="15" customHeight="1"/>
  <cols>
    <col min="1" max="2" width="19.109375" customWidth="1"/>
    <col min="3" max="3" width="22.88671875" customWidth="1"/>
    <col min="4" max="4" width="34.5546875" customWidth="1"/>
    <col min="5" max="6" width="17" customWidth="1"/>
    <col min="7" max="7" width="18" customWidth="1"/>
    <col min="8" max="8" width="17" customWidth="1"/>
    <col min="9" max="10" width="19.109375" customWidth="1"/>
    <col min="11" max="11" width="58.33203125" customWidth="1"/>
    <col min="12" max="27" width="10" customWidth="1"/>
  </cols>
  <sheetData>
    <row r="1" spans="1:27" ht="12.75" customHeight="1">
      <c r="A1" s="8"/>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10" t="s">
        <v>7</v>
      </c>
      <c r="C7" s="10" t="s">
        <v>8</v>
      </c>
      <c r="D7" s="10" t="s">
        <v>9</v>
      </c>
      <c r="E7" s="10" t="s">
        <v>10</v>
      </c>
      <c r="F7" s="11" t="s">
        <v>11</v>
      </c>
      <c r="G7" s="12" t="s">
        <v>12</v>
      </c>
      <c r="H7" s="10" t="s">
        <v>13</v>
      </c>
      <c r="I7" s="10" t="s">
        <v>14</v>
      </c>
      <c r="J7" s="10" t="s">
        <v>15</v>
      </c>
      <c r="K7" s="10" t="s">
        <v>16</v>
      </c>
      <c r="L7" s="13"/>
      <c r="M7" s="13"/>
      <c r="N7" s="13"/>
      <c r="O7" s="13"/>
      <c r="P7" s="13"/>
      <c r="Q7" s="13"/>
      <c r="R7" s="13"/>
      <c r="S7" s="13"/>
      <c r="T7" s="13"/>
      <c r="U7" s="13"/>
      <c r="V7" s="13"/>
      <c r="W7" s="13"/>
      <c r="X7" s="13"/>
      <c r="Y7" s="13"/>
      <c r="Z7" s="13"/>
      <c r="AA7" s="13"/>
    </row>
    <row r="8" spans="1:27" ht="80.400000000000006" customHeight="1">
      <c r="A8" s="14" t="s">
        <v>17</v>
      </c>
      <c r="B8" s="234" t="s">
        <v>92</v>
      </c>
      <c r="C8" s="233" t="s">
        <v>566</v>
      </c>
      <c r="D8" s="232" t="s">
        <v>565</v>
      </c>
      <c r="E8" s="18">
        <v>2499070</v>
      </c>
      <c r="F8" s="19">
        <v>2749000</v>
      </c>
      <c r="G8" s="20" t="s">
        <v>19</v>
      </c>
      <c r="H8" s="21">
        <v>3685.53</v>
      </c>
      <c r="I8" s="22" t="s">
        <v>20</v>
      </c>
      <c r="J8" s="23" t="s">
        <v>21</v>
      </c>
      <c r="K8" s="24" t="s">
        <v>22</v>
      </c>
    </row>
    <row r="9" spans="1:27" ht="50.25" customHeight="1">
      <c r="A9" s="14" t="s">
        <v>23</v>
      </c>
      <c r="B9" s="25" t="s">
        <v>24</v>
      </c>
      <c r="C9" s="26" t="s">
        <v>25</v>
      </c>
      <c r="D9" s="17" t="s">
        <v>567</v>
      </c>
      <c r="E9" s="18">
        <v>1415462.18</v>
      </c>
      <c r="F9" s="18">
        <v>1684400</v>
      </c>
      <c r="G9" s="20" t="s">
        <v>26</v>
      </c>
      <c r="H9" s="21">
        <v>3685.53</v>
      </c>
      <c r="I9" s="22" t="s">
        <v>20</v>
      </c>
      <c r="J9" s="23" t="s">
        <v>21</v>
      </c>
      <c r="K9" s="27" t="s">
        <v>27</v>
      </c>
    </row>
    <row r="10" spans="1:27" ht="50.25" customHeight="1">
      <c r="A10" s="14" t="s">
        <v>28</v>
      </c>
      <c r="B10" s="15" t="s">
        <v>29</v>
      </c>
      <c r="C10" s="16" t="s">
        <v>30</v>
      </c>
      <c r="D10" s="17" t="s">
        <v>32</v>
      </c>
      <c r="E10" s="18">
        <v>1406092.44</v>
      </c>
      <c r="F10" s="18">
        <v>1673250</v>
      </c>
      <c r="G10" s="20" t="s">
        <v>31</v>
      </c>
      <c r="H10" s="21">
        <v>3685.53</v>
      </c>
      <c r="I10" s="22" t="s">
        <v>20</v>
      </c>
      <c r="J10" s="23" t="s">
        <v>21</v>
      </c>
      <c r="K10" s="28" t="s">
        <v>32</v>
      </c>
    </row>
    <row r="11" spans="1:27" ht="15" hidden="1" customHeight="1">
      <c r="A11" s="29"/>
      <c r="B11" s="30"/>
      <c r="C11" s="30"/>
      <c r="D11" s="30"/>
      <c r="E11" s="30"/>
      <c r="F11" s="30"/>
      <c r="G11" s="30"/>
      <c r="H11" s="30"/>
      <c r="I11" s="30"/>
      <c r="J11" s="30"/>
      <c r="K11" s="30"/>
    </row>
    <row r="12" spans="1:27" ht="12.75" customHeight="1"/>
    <row r="13" spans="1:27" ht="138.75" customHeight="1">
      <c r="A13" s="292" t="s">
        <v>33</v>
      </c>
      <c r="B13" s="290"/>
      <c r="C13" s="290"/>
      <c r="D13" s="290"/>
      <c r="E13" s="290"/>
      <c r="F13" s="290"/>
      <c r="G13" s="290"/>
      <c r="H13" s="290"/>
      <c r="I13" s="290"/>
      <c r="J13" s="290"/>
      <c r="K13" s="291"/>
    </row>
    <row r="14" spans="1:27" ht="12.75" customHeight="1"/>
    <row r="15" spans="1:27" ht="75" customHeight="1">
      <c r="A15" s="292" t="s">
        <v>34</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100-000000000000}"/>
    <hyperlink ref="C9" r:id="rId2" xr:uid="{00000000-0004-0000-0100-000001000000}"/>
    <hyperlink ref="C10" r:id="rId3" xr:uid="{00000000-0004-0000-0100-000002000000}"/>
  </hyperlinks>
  <pageMargins left="0.7" right="0.7" top="0.75" bottom="0.75" header="0" footer="0"/>
  <pageSetup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35</v>
      </c>
      <c r="C7" s="32" t="s">
        <v>36</v>
      </c>
      <c r="D7" s="32" t="s">
        <v>37</v>
      </c>
      <c r="E7" s="32" t="s">
        <v>38</v>
      </c>
      <c r="F7" s="33" t="s">
        <v>39</v>
      </c>
      <c r="G7" s="34" t="s">
        <v>40</v>
      </c>
      <c r="H7" s="32" t="s">
        <v>13</v>
      </c>
      <c r="I7" s="32" t="s">
        <v>41</v>
      </c>
      <c r="J7" s="32" t="s">
        <v>15</v>
      </c>
      <c r="K7" s="32" t="s">
        <v>42</v>
      </c>
      <c r="L7" s="13"/>
      <c r="M7" s="13"/>
      <c r="N7" s="13"/>
      <c r="O7" s="13"/>
      <c r="P7" s="13"/>
      <c r="Q7" s="13"/>
      <c r="R7" s="13"/>
      <c r="S7" s="13"/>
      <c r="T7" s="13"/>
      <c r="U7" s="13"/>
      <c r="V7" s="13"/>
      <c r="W7" s="13"/>
      <c r="X7" s="13"/>
      <c r="Y7" s="13"/>
      <c r="Z7" s="13"/>
      <c r="AA7" s="13"/>
    </row>
    <row r="8" spans="1:27" ht="50.25" customHeight="1">
      <c r="A8" s="35" t="s">
        <v>17</v>
      </c>
      <c r="B8" s="36" t="s">
        <v>24</v>
      </c>
      <c r="C8" s="26" t="s">
        <v>43</v>
      </c>
      <c r="D8" s="37" t="s">
        <v>44</v>
      </c>
      <c r="E8" s="38">
        <v>503361.34</v>
      </c>
      <c r="F8" s="38">
        <v>599000</v>
      </c>
      <c r="G8" s="39" t="s">
        <v>45</v>
      </c>
      <c r="H8" s="40">
        <v>3685.53</v>
      </c>
      <c r="I8" s="36" t="s">
        <v>20</v>
      </c>
      <c r="J8" s="36" t="s">
        <v>21</v>
      </c>
      <c r="K8" s="17" t="s">
        <v>46</v>
      </c>
    </row>
    <row r="9" spans="1:27" ht="50.25" customHeight="1">
      <c r="A9" s="35" t="s">
        <v>23</v>
      </c>
      <c r="B9" s="37" t="s">
        <v>29</v>
      </c>
      <c r="C9" s="26" t="s">
        <v>47</v>
      </c>
      <c r="D9" s="37" t="s">
        <v>44</v>
      </c>
      <c r="E9" s="41">
        <v>526890.76</v>
      </c>
      <c r="F9" s="38">
        <v>627000</v>
      </c>
      <c r="G9" s="39" t="s">
        <v>48</v>
      </c>
      <c r="H9" s="40">
        <v>3685.53</v>
      </c>
      <c r="I9" s="36" t="s">
        <v>20</v>
      </c>
      <c r="J9" s="36" t="s">
        <v>49</v>
      </c>
      <c r="K9" s="17" t="s">
        <v>50</v>
      </c>
    </row>
    <row r="10" spans="1:27" ht="50.25" customHeight="1">
      <c r="A10" s="35" t="s">
        <v>28</v>
      </c>
      <c r="B10" s="36" t="s">
        <v>51</v>
      </c>
      <c r="C10" s="26" t="s">
        <v>52</v>
      </c>
      <c r="D10" s="37" t="s">
        <v>44</v>
      </c>
      <c r="E10" s="41">
        <v>453697.48</v>
      </c>
      <c r="F10" s="38">
        <v>539900</v>
      </c>
      <c r="G10" s="39" t="s">
        <v>53</v>
      </c>
      <c r="H10" s="40">
        <v>3685.53</v>
      </c>
      <c r="I10" s="36" t="s">
        <v>20</v>
      </c>
      <c r="J10" s="36" t="s">
        <v>54</v>
      </c>
      <c r="K10" s="17" t="s">
        <v>55</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56</v>
      </c>
      <c r="B13" s="290"/>
      <c r="C13" s="290"/>
      <c r="D13" s="290"/>
      <c r="E13" s="290"/>
      <c r="F13" s="290"/>
      <c r="G13" s="290"/>
      <c r="H13" s="290"/>
      <c r="I13" s="290"/>
      <c r="J13" s="290"/>
      <c r="K13" s="291"/>
    </row>
    <row r="14" spans="1:27" ht="12.75" customHeight="1"/>
    <row r="15" spans="1:27" ht="75" customHeight="1">
      <c r="A15" s="292" t="s">
        <v>57</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200-000000000000}"/>
    <hyperlink ref="C9" r:id="rId2" xr:uid="{00000000-0004-0000-0200-000001000000}"/>
    <hyperlink ref="C10"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A2"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11" width="5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79</v>
      </c>
      <c r="C7" s="32" t="s">
        <v>80</v>
      </c>
      <c r="D7" s="32" t="s">
        <v>81</v>
      </c>
      <c r="E7" s="32" t="s">
        <v>82</v>
      </c>
      <c r="F7" s="33" t="s">
        <v>83</v>
      </c>
      <c r="G7" s="34" t="s">
        <v>84</v>
      </c>
      <c r="H7" s="32" t="s">
        <v>13</v>
      </c>
      <c r="I7" s="32" t="s">
        <v>85</v>
      </c>
      <c r="J7" s="32" t="s">
        <v>15</v>
      </c>
      <c r="K7" s="32" t="s">
        <v>86</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36" t="s">
        <v>88</v>
      </c>
      <c r="E11" s="42"/>
      <c r="F11" s="42"/>
      <c r="G11" s="42"/>
      <c r="H11" s="42"/>
      <c r="I11" s="51" t="s">
        <v>20</v>
      </c>
      <c r="J11" s="55"/>
      <c r="K11" s="42"/>
    </row>
    <row r="12" spans="1:27" ht="12.75" customHeight="1">
      <c r="D12" s="36"/>
      <c r="I12" s="51"/>
      <c r="J12" s="56"/>
    </row>
    <row r="13" spans="1:27" ht="138.75" customHeight="1">
      <c r="A13" s="292" t="s">
        <v>99</v>
      </c>
      <c r="B13" s="290"/>
      <c r="C13" s="290"/>
      <c r="D13" s="290"/>
      <c r="E13" s="290"/>
      <c r="F13" s="290"/>
      <c r="G13" s="290"/>
      <c r="H13" s="290"/>
      <c r="I13" s="290"/>
      <c r="J13" s="290"/>
      <c r="K13" s="291"/>
    </row>
    <row r="14" spans="1:27" ht="12.75" customHeight="1"/>
    <row r="15" spans="1:27" ht="75" customHeight="1">
      <c r="A15" s="292" t="s">
        <v>100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400-000000000000}"/>
    <hyperlink ref="C9" r:id="rId2" xr:uid="{00000000-0004-0000-0400-000001000000}"/>
    <hyperlink ref="C10" r:id="rId3" xr:uid="{00000000-0004-0000-04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58</v>
      </c>
      <c r="C7" s="32" t="s">
        <v>59</v>
      </c>
      <c r="D7" s="32" t="s">
        <v>60</v>
      </c>
      <c r="E7" s="32" t="s">
        <v>61</v>
      </c>
      <c r="F7" s="45" t="s">
        <v>62</v>
      </c>
      <c r="G7" s="46" t="s">
        <v>63</v>
      </c>
      <c r="H7" s="32" t="s">
        <v>13</v>
      </c>
      <c r="I7" s="32" t="s">
        <v>64</v>
      </c>
      <c r="J7" s="32" t="s">
        <v>15</v>
      </c>
      <c r="K7" s="32" t="s">
        <v>65</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77</v>
      </c>
      <c r="B13" s="290"/>
      <c r="C13" s="290"/>
      <c r="D13" s="290"/>
      <c r="E13" s="290"/>
      <c r="F13" s="290"/>
      <c r="G13" s="290"/>
      <c r="H13" s="290"/>
      <c r="I13" s="290"/>
      <c r="J13" s="290"/>
      <c r="K13" s="291"/>
    </row>
    <row r="14" spans="1:27" ht="12.75" customHeight="1"/>
    <row r="15" spans="1:27" ht="75" customHeight="1">
      <c r="A15" s="292" t="s">
        <v>78</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300-000000000000}"/>
    <hyperlink ref="C9" r:id="rId2" xr:uid="{00000000-0004-0000-0300-000001000000}"/>
    <hyperlink ref="C10" r:id="rId3" xr:uid="{00000000-0004-0000-03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64.109375" customWidth="1"/>
    <col min="11" max="26" width="10" customWidth="1"/>
  </cols>
  <sheetData>
    <row r="1" spans="1:26" ht="12.75" customHeight="1"/>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10" t="s">
        <v>101</v>
      </c>
      <c r="C7" s="10" t="s">
        <v>102</v>
      </c>
      <c r="D7" s="10" t="s">
        <v>103</v>
      </c>
      <c r="E7" s="10" t="s">
        <v>104</v>
      </c>
      <c r="F7" s="11" t="s">
        <v>105</v>
      </c>
      <c r="G7" s="57" t="s">
        <v>106</v>
      </c>
      <c r="H7" s="10" t="s">
        <v>13</v>
      </c>
      <c r="I7" s="10" t="s">
        <v>107</v>
      </c>
      <c r="J7" s="10" t="s">
        <v>108</v>
      </c>
      <c r="K7" s="13"/>
      <c r="L7" s="13"/>
      <c r="M7" s="13"/>
      <c r="N7" s="13"/>
      <c r="O7" s="13"/>
      <c r="P7" s="13"/>
      <c r="Q7" s="13"/>
      <c r="R7" s="13"/>
      <c r="S7" s="13"/>
      <c r="T7" s="13"/>
      <c r="U7" s="13"/>
      <c r="V7" s="13"/>
      <c r="W7" s="13"/>
      <c r="X7" s="13"/>
      <c r="Y7" s="13"/>
      <c r="Z7" s="13"/>
    </row>
    <row r="8" spans="1:26" ht="50.25" customHeight="1">
      <c r="A8" s="35" t="s">
        <v>17</v>
      </c>
      <c r="B8" s="17" t="s">
        <v>51</v>
      </c>
      <c r="C8" s="58" t="s">
        <v>109</v>
      </c>
      <c r="D8" s="59" t="s">
        <v>110</v>
      </c>
      <c r="E8" s="60">
        <v>159579.82999999999</v>
      </c>
      <c r="F8" s="41">
        <v>189900</v>
      </c>
      <c r="G8" s="61" t="s">
        <v>111</v>
      </c>
      <c r="H8" s="41">
        <v>3685.53</v>
      </c>
      <c r="I8" s="17" t="s">
        <v>20</v>
      </c>
      <c r="J8" s="62" t="s">
        <v>112</v>
      </c>
    </row>
    <row r="9" spans="1:26" ht="50.25" customHeight="1">
      <c r="A9" s="35" t="s">
        <v>23</v>
      </c>
      <c r="B9" s="63" t="s">
        <v>96</v>
      </c>
      <c r="C9" s="58" t="s">
        <v>113</v>
      </c>
      <c r="D9" s="59" t="s">
        <v>110</v>
      </c>
      <c r="E9" s="41">
        <v>151176.47</v>
      </c>
      <c r="F9" s="41">
        <v>179900</v>
      </c>
      <c r="G9" s="61" t="s">
        <v>114</v>
      </c>
      <c r="H9" s="40">
        <v>3685.53</v>
      </c>
      <c r="I9" s="17" t="s">
        <v>20</v>
      </c>
      <c r="J9" s="17" t="s">
        <v>115</v>
      </c>
    </row>
    <row r="10" spans="1:26" ht="50.25" customHeight="1">
      <c r="A10" s="35" t="s">
        <v>28</v>
      </c>
      <c r="B10" s="17" t="s">
        <v>24</v>
      </c>
      <c r="C10" s="58" t="s">
        <v>116</v>
      </c>
      <c r="D10" s="59" t="s">
        <v>110</v>
      </c>
      <c r="E10" s="41">
        <v>155378.15</v>
      </c>
      <c r="F10" s="41">
        <v>184900</v>
      </c>
      <c r="G10" s="61" t="s">
        <v>117</v>
      </c>
      <c r="H10" s="40">
        <v>3685.53</v>
      </c>
      <c r="I10" s="17" t="s">
        <v>20</v>
      </c>
      <c r="J10" s="17" t="s">
        <v>118</v>
      </c>
    </row>
    <row r="11" spans="1:26" ht="15" hidden="1" customHeight="1">
      <c r="A11" s="29"/>
      <c r="B11" s="42"/>
      <c r="C11" s="42"/>
      <c r="D11" s="42"/>
      <c r="E11" s="42"/>
      <c r="F11" s="42"/>
      <c r="G11" s="42"/>
      <c r="H11" s="42"/>
      <c r="I11" s="42"/>
      <c r="J11" s="42"/>
    </row>
    <row r="12" spans="1:26" ht="12.75" customHeight="1"/>
    <row r="13" spans="1:26" ht="138.75" customHeight="1">
      <c r="A13" s="292" t="s">
        <v>119</v>
      </c>
      <c r="B13" s="290"/>
      <c r="C13" s="290"/>
      <c r="D13" s="290"/>
      <c r="E13" s="290"/>
      <c r="F13" s="290"/>
      <c r="G13" s="290"/>
      <c r="H13" s="290"/>
      <c r="I13" s="290"/>
      <c r="J13" s="291"/>
    </row>
    <row r="14" spans="1:26" ht="12.75" customHeight="1"/>
    <row r="15" spans="1:26" ht="75" customHeight="1">
      <c r="A15" s="292" t="s">
        <v>120</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D6" workbookViewId="0">
      <selection activeCell="F10" sqref="F10"/>
    </sheetView>
  </sheetViews>
  <sheetFormatPr baseColWidth="10" defaultColWidth="12.6640625" defaultRowHeight="15" customHeight="1"/>
  <cols>
    <col min="1" max="2" width="19.109375" customWidth="1"/>
    <col min="3" max="3" width="48.5546875" customWidth="1"/>
    <col min="4" max="4" width="21.88671875" customWidth="1"/>
    <col min="5" max="6" width="17" customWidth="1"/>
    <col min="7" max="7" width="18" customWidth="1"/>
    <col min="8" max="8" width="17" customWidth="1"/>
    <col min="9" max="10" width="19.109375" customWidth="1"/>
    <col min="11" max="11" width="4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64" t="s">
        <v>121</v>
      </c>
      <c r="C7" s="64" t="s">
        <v>122</v>
      </c>
      <c r="D7" s="64" t="s">
        <v>123</v>
      </c>
      <c r="E7" s="64" t="s">
        <v>124</v>
      </c>
      <c r="F7" s="65" t="s">
        <v>125</v>
      </c>
      <c r="G7" s="12" t="s">
        <v>126</v>
      </c>
      <c r="H7" s="64" t="s">
        <v>13</v>
      </c>
      <c r="I7" s="64" t="s">
        <v>127</v>
      </c>
      <c r="J7" s="64" t="s">
        <v>15</v>
      </c>
      <c r="K7" s="64" t="s">
        <v>128</v>
      </c>
      <c r="L7" s="13"/>
      <c r="M7" s="13"/>
      <c r="N7" s="13"/>
      <c r="O7" s="13"/>
      <c r="P7" s="13"/>
      <c r="Q7" s="13"/>
      <c r="R7" s="13"/>
      <c r="S7" s="13"/>
      <c r="T7" s="13"/>
      <c r="U7" s="13"/>
      <c r="V7" s="13"/>
      <c r="W7" s="13"/>
      <c r="X7" s="13"/>
      <c r="Y7" s="13"/>
      <c r="Z7" s="13"/>
      <c r="AA7" s="13"/>
    </row>
    <row r="8" spans="1:27" ht="75" customHeight="1">
      <c r="A8" s="64" t="s">
        <v>17</v>
      </c>
      <c r="B8" s="66" t="s">
        <v>51</v>
      </c>
      <c r="C8" s="67" t="s">
        <v>129</v>
      </c>
      <c r="D8" s="36" t="s">
        <v>568</v>
      </c>
      <c r="E8" s="68">
        <v>1680663.87</v>
      </c>
      <c r="F8" s="68">
        <v>1999990</v>
      </c>
      <c r="G8" s="61" t="s">
        <v>131</v>
      </c>
      <c r="H8" s="40">
        <v>3685.53</v>
      </c>
      <c r="I8" s="17" t="s">
        <v>20</v>
      </c>
      <c r="J8" s="17" t="s">
        <v>21</v>
      </c>
      <c r="K8" s="69" t="s">
        <v>132</v>
      </c>
    </row>
    <row r="9" spans="1:27" ht="50.25" customHeight="1">
      <c r="A9" s="64" t="s">
        <v>23</v>
      </c>
      <c r="B9" s="66" t="s">
        <v>29</v>
      </c>
      <c r="C9" s="235" t="s">
        <v>570</v>
      </c>
      <c r="D9" s="36" t="s">
        <v>569</v>
      </c>
      <c r="E9" s="71">
        <v>2800000</v>
      </c>
      <c r="F9" s="68">
        <v>2979900</v>
      </c>
      <c r="G9" s="61" t="s">
        <v>133</v>
      </c>
      <c r="H9" s="40">
        <v>3685.53</v>
      </c>
      <c r="I9" s="17" t="s">
        <v>20</v>
      </c>
      <c r="J9" s="17"/>
      <c r="K9" s="72" t="s">
        <v>134</v>
      </c>
    </row>
    <row r="10" spans="1:27" ht="50.25" customHeight="1">
      <c r="A10" s="64" t="s">
        <v>28</v>
      </c>
      <c r="B10" s="66" t="s">
        <v>135</v>
      </c>
      <c r="C10" s="26" t="s">
        <v>136</v>
      </c>
      <c r="D10" s="36" t="s">
        <v>571</v>
      </c>
      <c r="E10" s="73">
        <v>1890672.27</v>
      </c>
      <c r="F10" s="68">
        <v>2249900</v>
      </c>
      <c r="G10" s="61" t="s">
        <v>137</v>
      </c>
      <c r="H10" s="40">
        <v>3685.53</v>
      </c>
      <c r="I10" s="17" t="s">
        <v>20</v>
      </c>
      <c r="J10" s="17" t="s">
        <v>21</v>
      </c>
      <c r="K10" s="72" t="s">
        <v>138</v>
      </c>
    </row>
    <row r="11" spans="1:27" ht="15" hidden="1" customHeight="1">
      <c r="A11" s="29"/>
      <c r="B11" s="30"/>
      <c r="C11" s="30"/>
      <c r="D11" s="30"/>
      <c r="E11" s="30"/>
      <c r="F11" s="30"/>
      <c r="G11" s="30"/>
      <c r="H11" s="30"/>
      <c r="I11" s="30"/>
      <c r="J11" s="30"/>
      <c r="K11" s="30"/>
    </row>
    <row r="12" spans="1:27" ht="12.75" customHeight="1"/>
    <row r="13" spans="1:27" ht="138.75" customHeight="1">
      <c r="A13" s="292" t="s">
        <v>139</v>
      </c>
      <c r="B13" s="290"/>
      <c r="C13" s="290"/>
      <c r="D13" s="290"/>
      <c r="E13" s="290"/>
      <c r="F13" s="290"/>
      <c r="G13" s="290"/>
      <c r="H13" s="290"/>
      <c r="I13" s="290"/>
      <c r="J13" s="290"/>
      <c r="K13" s="291"/>
    </row>
    <row r="14" spans="1:27" ht="12.75" customHeight="1"/>
    <row r="15" spans="1:27" ht="75" customHeight="1">
      <c r="A15" s="292" t="s">
        <v>140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600-000000000000}"/>
    <hyperlink ref="C9" r:id="rId2" location="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display="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xr:uid="{00000000-0004-0000-0600-000001000000}"/>
    <hyperlink ref="C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topLeftCell="A5"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c r="A1" s="8" t="s">
        <v>141</v>
      </c>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142</v>
      </c>
      <c r="C7" s="32" t="s">
        <v>143</v>
      </c>
      <c r="D7" s="32" t="s">
        <v>144</v>
      </c>
      <c r="E7" s="32" t="s">
        <v>145</v>
      </c>
      <c r="F7" s="33" t="s">
        <v>146</v>
      </c>
      <c r="G7" s="34" t="s">
        <v>147</v>
      </c>
      <c r="H7" s="32" t="s">
        <v>13</v>
      </c>
      <c r="I7" s="32" t="s">
        <v>148</v>
      </c>
      <c r="J7" s="32" t="s">
        <v>15</v>
      </c>
      <c r="K7" s="32" t="s">
        <v>149</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42"/>
      <c r="J11" s="42"/>
      <c r="K11" s="42"/>
    </row>
    <row r="12" spans="1:27" ht="12.75" customHeight="1"/>
    <row r="13" spans="1:27" ht="138.75" customHeight="1">
      <c r="A13" s="292" t="s">
        <v>150</v>
      </c>
      <c r="B13" s="290"/>
      <c r="C13" s="290"/>
      <c r="D13" s="290"/>
      <c r="E13" s="290"/>
      <c r="F13" s="290"/>
      <c r="G13" s="290"/>
      <c r="H13" s="290"/>
      <c r="I13" s="290"/>
      <c r="J13" s="290"/>
      <c r="K13" s="291"/>
    </row>
    <row r="14" spans="1:27" ht="12.75" customHeight="1"/>
    <row r="15" spans="1:27" ht="75" customHeight="1">
      <c r="A15" s="292" t="s">
        <v>151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700-000000000000}"/>
    <hyperlink ref="C9" r:id="rId2" xr:uid="{00000000-0004-0000-0700-000001000000}"/>
    <hyperlink ref="C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152</v>
      </c>
      <c r="C7" s="32" t="s">
        <v>153</v>
      </c>
      <c r="D7" s="32" t="s">
        <v>154</v>
      </c>
      <c r="E7" s="32" t="s">
        <v>155</v>
      </c>
      <c r="F7" s="33" t="s">
        <v>156</v>
      </c>
      <c r="G7" s="34" t="s">
        <v>157</v>
      </c>
      <c r="H7" s="32" t="s">
        <v>13</v>
      </c>
      <c r="I7" s="32" t="s">
        <v>158</v>
      </c>
      <c r="J7" s="32" t="s">
        <v>15</v>
      </c>
      <c r="K7" s="32" t="s">
        <v>159</v>
      </c>
      <c r="L7" s="13"/>
      <c r="M7" s="13"/>
      <c r="N7" s="13"/>
      <c r="O7" s="13"/>
      <c r="P7" s="13"/>
      <c r="Q7" s="13"/>
      <c r="R7" s="13"/>
      <c r="S7" s="13"/>
      <c r="T7" s="13"/>
      <c r="U7" s="13"/>
      <c r="V7" s="13"/>
      <c r="W7" s="13"/>
      <c r="X7" s="13"/>
      <c r="Y7" s="13"/>
      <c r="Z7" s="13"/>
      <c r="AA7" s="13"/>
    </row>
    <row r="8" spans="1:27" ht="50.25" customHeight="1">
      <c r="A8" s="35" t="s">
        <v>17</v>
      </c>
      <c r="B8" s="74" t="s">
        <v>29</v>
      </c>
      <c r="C8" s="70" t="s">
        <v>160</v>
      </c>
      <c r="D8" s="74" t="s">
        <v>161</v>
      </c>
      <c r="E8" s="75">
        <v>1014201.68</v>
      </c>
      <c r="F8" s="75">
        <v>1206900</v>
      </c>
      <c r="G8" s="75" t="s">
        <v>162</v>
      </c>
      <c r="H8" s="40">
        <v>3685.53</v>
      </c>
      <c r="I8" s="74" t="s">
        <v>20</v>
      </c>
      <c r="J8" s="74" t="s">
        <v>54</v>
      </c>
      <c r="K8" s="74" t="s">
        <v>163</v>
      </c>
    </row>
    <row r="9" spans="1:27" ht="50.25" customHeight="1">
      <c r="A9" s="35" t="s">
        <v>23</v>
      </c>
      <c r="B9" s="74" t="s">
        <v>51</v>
      </c>
      <c r="C9" s="70" t="s">
        <v>164</v>
      </c>
      <c r="D9" s="74" t="s">
        <v>161</v>
      </c>
      <c r="E9" s="75">
        <v>630168.06999999995</v>
      </c>
      <c r="F9" s="75">
        <v>749900</v>
      </c>
      <c r="G9" s="75" t="s">
        <v>165</v>
      </c>
      <c r="H9" s="40">
        <v>3685.53</v>
      </c>
      <c r="I9" s="74" t="s">
        <v>20</v>
      </c>
      <c r="J9" s="74" t="s">
        <v>21</v>
      </c>
      <c r="K9" s="74" t="s">
        <v>166</v>
      </c>
    </row>
    <row r="10" spans="1:27" ht="50.25" customHeight="1">
      <c r="A10" s="35" t="s">
        <v>28</v>
      </c>
      <c r="B10" s="74" t="s">
        <v>24</v>
      </c>
      <c r="C10" s="70" t="s">
        <v>167</v>
      </c>
      <c r="D10" s="74" t="s">
        <v>161</v>
      </c>
      <c r="E10" s="75">
        <v>755462.18</v>
      </c>
      <c r="F10" s="75">
        <v>899000</v>
      </c>
      <c r="G10" s="75" t="s">
        <v>168</v>
      </c>
      <c r="H10" s="40">
        <v>3685.53</v>
      </c>
      <c r="I10" s="74" t="s">
        <v>20</v>
      </c>
      <c r="J10" s="74" t="s">
        <v>21</v>
      </c>
      <c r="K10" s="17" t="s">
        <v>169</v>
      </c>
    </row>
    <row r="11" spans="1:27" ht="15" hidden="1" customHeight="1">
      <c r="A11" s="29"/>
      <c r="B11" s="42"/>
      <c r="C11" s="42"/>
      <c r="D11" s="42"/>
      <c r="E11" s="42"/>
      <c r="F11" s="42"/>
      <c r="G11" s="42"/>
      <c r="H11" s="42"/>
      <c r="I11" s="42"/>
      <c r="J11" s="42"/>
      <c r="K11" s="42"/>
    </row>
    <row r="12" spans="1:27" ht="12.75" customHeight="1"/>
    <row r="13" spans="1:27" ht="138.75" customHeight="1">
      <c r="A13" s="292" t="s">
        <v>170</v>
      </c>
      <c r="B13" s="290"/>
      <c r="C13" s="290"/>
      <c r="D13" s="290"/>
      <c r="E13" s="290"/>
      <c r="F13" s="290"/>
      <c r="G13" s="290"/>
      <c r="H13" s="290"/>
      <c r="I13" s="290"/>
      <c r="J13" s="290"/>
      <c r="K13" s="291"/>
    </row>
    <row r="14" spans="1:27" ht="12.75" customHeight="1"/>
    <row r="15" spans="1:27" ht="75" customHeight="1">
      <c r="A15" s="292" t="s">
        <v>171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D8" sqref="D8"/>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39.33203125" customWidth="1"/>
    <col min="11" max="26" width="10" customWidth="1"/>
  </cols>
  <sheetData>
    <row r="1" spans="1:26" ht="12.75" customHeight="1">
      <c r="A1" s="8" t="s">
        <v>172</v>
      </c>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173</v>
      </c>
      <c r="C7" s="32" t="s">
        <v>174</v>
      </c>
      <c r="D7" s="32" t="s">
        <v>175</v>
      </c>
      <c r="E7" s="32" t="s">
        <v>176</v>
      </c>
      <c r="F7" s="33" t="s">
        <v>177</v>
      </c>
      <c r="G7" s="34" t="s">
        <v>178</v>
      </c>
      <c r="H7" s="32" t="s">
        <v>13</v>
      </c>
      <c r="I7" s="32" t="s">
        <v>179</v>
      </c>
      <c r="J7" s="32" t="s">
        <v>180</v>
      </c>
      <c r="K7" s="13"/>
      <c r="L7" s="13"/>
      <c r="M7" s="13"/>
      <c r="N7" s="13"/>
      <c r="O7" s="13"/>
      <c r="P7" s="13"/>
      <c r="Q7" s="13"/>
      <c r="R7" s="13"/>
      <c r="S7" s="13"/>
      <c r="T7" s="13"/>
      <c r="U7" s="13"/>
      <c r="V7" s="13"/>
      <c r="W7" s="13"/>
      <c r="X7" s="13"/>
      <c r="Y7" s="13"/>
      <c r="Z7" s="13"/>
    </row>
    <row r="8" spans="1:26" ht="50.25" customHeight="1">
      <c r="A8" s="35" t="s">
        <v>17</v>
      </c>
      <c r="B8" s="36" t="s">
        <v>29</v>
      </c>
      <c r="C8" s="26" t="s">
        <v>181</v>
      </c>
      <c r="D8" s="236" t="s">
        <v>182</v>
      </c>
      <c r="E8" s="41">
        <v>420089.08</v>
      </c>
      <c r="F8" s="76">
        <v>499906</v>
      </c>
      <c r="G8" s="76" t="s">
        <v>183</v>
      </c>
      <c r="H8" s="40">
        <v>3685.53</v>
      </c>
      <c r="I8" s="77" t="s">
        <v>20</v>
      </c>
      <c r="J8" s="53" t="s">
        <v>184</v>
      </c>
    </row>
    <row r="9" spans="1:26" ht="68.25" customHeight="1">
      <c r="A9" s="35" t="s">
        <v>23</v>
      </c>
      <c r="B9" s="37" t="s">
        <v>24</v>
      </c>
      <c r="C9" s="26" t="s">
        <v>185</v>
      </c>
      <c r="D9" s="36" t="s">
        <v>182</v>
      </c>
      <c r="E9" s="38">
        <v>500000</v>
      </c>
      <c r="F9" s="76">
        <v>595000</v>
      </c>
      <c r="G9" s="76" t="s">
        <v>186</v>
      </c>
      <c r="H9" s="40">
        <v>3685.53</v>
      </c>
      <c r="I9" s="77" t="s">
        <v>20</v>
      </c>
      <c r="J9" s="54" t="s">
        <v>187</v>
      </c>
    </row>
    <row r="10" spans="1:26" ht="50.25" customHeight="1">
      <c r="A10" s="35" t="s">
        <v>28</v>
      </c>
      <c r="B10" s="36" t="s">
        <v>96</v>
      </c>
      <c r="C10" s="26" t="s">
        <v>188</v>
      </c>
      <c r="D10" s="36" t="s">
        <v>182</v>
      </c>
      <c r="E10" s="41">
        <v>520924.37</v>
      </c>
      <c r="F10" s="76">
        <v>619900</v>
      </c>
      <c r="G10" s="76" t="s">
        <v>189</v>
      </c>
      <c r="H10" s="40">
        <v>3685.53</v>
      </c>
      <c r="I10" s="77" t="s">
        <v>20</v>
      </c>
      <c r="J10" s="53" t="s">
        <v>190</v>
      </c>
    </row>
    <row r="11" spans="1:26" ht="15" hidden="1" customHeight="1">
      <c r="A11" s="29"/>
      <c r="B11" s="42"/>
      <c r="C11" s="42"/>
      <c r="D11" s="42"/>
      <c r="E11" s="42"/>
      <c r="F11" s="42"/>
      <c r="G11" s="42"/>
      <c r="H11" s="42"/>
      <c r="I11" s="42"/>
      <c r="J11" s="42"/>
    </row>
    <row r="12" spans="1:26" ht="12.75" customHeight="1"/>
    <row r="13" spans="1:26" ht="138.75" customHeight="1">
      <c r="A13" s="292" t="s">
        <v>191</v>
      </c>
      <c r="B13" s="290"/>
      <c r="C13" s="290"/>
      <c r="D13" s="290"/>
      <c r="E13" s="290"/>
      <c r="F13" s="290"/>
      <c r="G13" s="290"/>
      <c r="H13" s="290"/>
      <c r="I13" s="290"/>
      <c r="J13" s="291"/>
    </row>
    <row r="14" spans="1:26" ht="12.75" customHeight="1"/>
    <row r="15" spans="1:26" ht="75" customHeight="1">
      <c r="A15" s="292" t="s">
        <v>192</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193</v>
      </c>
      <c r="C7" s="32" t="s">
        <v>194</v>
      </c>
      <c r="D7" s="32" t="s">
        <v>195</v>
      </c>
      <c r="E7" s="32" t="s">
        <v>196</v>
      </c>
      <c r="F7" s="33" t="s">
        <v>197</v>
      </c>
      <c r="G7" s="34" t="s">
        <v>198</v>
      </c>
      <c r="H7" s="32" t="s">
        <v>13</v>
      </c>
      <c r="I7" s="32" t="s">
        <v>199</v>
      </c>
      <c r="J7" s="32" t="s">
        <v>15</v>
      </c>
      <c r="K7" s="32" t="s">
        <v>200</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42"/>
      <c r="E11" s="42"/>
      <c r="F11" s="42"/>
      <c r="G11" s="42"/>
      <c r="H11" s="42"/>
      <c r="I11" s="42"/>
      <c r="J11" s="42"/>
      <c r="K11" s="42"/>
    </row>
    <row r="12" spans="1:27" ht="12.75" customHeight="1"/>
    <row r="13" spans="1:27" ht="138.75" customHeight="1">
      <c r="A13" s="292" t="s">
        <v>201</v>
      </c>
      <c r="B13" s="290"/>
      <c r="C13" s="290"/>
      <c r="D13" s="290"/>
      <c r="E13" s="290"/>
      <c r="F13" s="290"/>
      <c r="G13" s="290"/>
      <c r="H13" s="290"/>
      <c r="I13" s="290"/>
      <c r="J13" s="290"/>
      <c r="K13" s="291"/>
    </row>
    <row r="14" spans="1:27" ht="12.75" customHeight="1"/>
    <row r="15" spans="1:27" ht="75" customHeight="1">
      <c r="A15" s="292" t="s">
        <v>202</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203</v>
      </c>
      <c r="C7" s="32" t="s">
        <v>204</v>
      </c>
      <c r="D7" s="32" t="s">
        <v>205</v>
      </c>
      <c r="E7" s="32" t="s">
        <v>206</v>
      </c>
      <c r="F7" s="33" t="s">
        <v>207</v>
      </c>
      <c r="G7" s="34" t="s">
        <v>208</v>
      </c>
      <c r="H7" s="32" t="s">
        <v>13</v>
      </c>
      <c r="I7" s="32" t="s">
        <v>209</v>
      </c>
      <c r="J7" s="32" t="s">
        <v>210</v>
      </c>
      <c r="K7" s="13"/>
      <c r="L7" s="13"/>
      <c r="M7" s="13"/>
      <c r="N7" s="13"/>
      <c r="O7" s="13"/>
      <c r="P7" s="13"/>
      <c r="Q7" s="13"/>
      <c r="R7" s="13"/>
      <c r="S7" s="13"/>
      <c r="T7" s="13"/>
      <c r="U7" s="13"/>
      <c r="V7" s="13"/>
      <c r="W7" s="13"/>
      <c r="X7" s="13"/>
      <c r="Y7" s="13"/>
      <c r="Z7" s="13"/>
    </row>
    <row r="8" spans="1:26" ht="50.25" customHeight="1">
      <c r="A8" s="35" t="s">
        <v>17</v>
      </c>
      <c r="B8" s="77" t="s">
        <v>211</v>
      </c>
      <c r="C8" s="78" t="s">
        <v>212</v>
      </c>
      <c r="D8" s="77" t="s">
        <v>213</v>
      </c>
      <c r="E8" s="76">
        <v>31502.13</v>
      </c>
      <c r="F8" s="76">
        <v>37487.53</v>
      </c>
      <c r="G8" s="79" t="s">
        <v>214</v>
      </c>
      <c r="H8" s="80">
        <v>3685.53</v>
      </c>
      <c r="I8" s="77" t="s">
        <v>20</v>
      </c>
      <c r="J8" s="77" t="s">
        <v>215</v>
      </c>
    </row>
    <row r="9" spans="1:26" ht="50.25" customHeight="1">
      <c r="A9" s="35" t="s">
        <v>23</v>
      </c>
      <c r="B9" s="77" t="s">
        <v>29</v>
      </c>
      <c r="C9" s="16" t="s">
        <v>216</v>
      </c>
      <c r="D9" s="77" t="s">
        <v>217</v>
      </c>
      <c r="E9" s="76">
        <v>32773.11</v>
      </c>
      <c r="F9" s="81">
        <v>39.9</v>
      </c>
      <c r="G9" s="39" t="s">
        <v>218</v>
      </c>
      <c r="H9" s="80">
        <v>3685.53</v>
      </c>
      <c r="I9" s="77" t="s">
        <v>20</v>
      </c>
      <c r="J9" s="77" t="s">
        <v>219</v>
      </c>
    </row>
    <row r="10" spans="1:26" ht="50.25" customHeight="1">
      <c r="A10" s="35" t="s">
        <v>28</v>
      </c>
      <c r="B10" s="77" t="s">
        <v>220</v>
      </c>
      <c r="C10" s="78" t="s">
        <v>221</v>
      </c>
      <c r="D10" s="77" t="s">
        <v>222</v>
      </c>
      <c r="E10" s="76">
        <v>58235.29</v>
      </c>
      <c r="F10" s="76">
        <v>69300</v>
      </c>
      <c r="G10" s="39" t="s">
        <v>223</v>
      </c>
      <c r="H10" s="80">
        <v>3685.53</v>
      </c>
      <c r="I10" s="77" t="s">
        <v>20</v>
      </c>
      <c r="J10" s="77" t="s">
        <v>224</v>
      </c>
    </row>
    <row r="11" spans="1:26" ht="15" hidden="1" customHeight="1">
      <c r="A11" s="29"/>
      <c r="B11" s="42"/>
      <c r="C11" s="42"/>
      <c r="D11" s="42"/>
      <c r="E11" s="42"/>
      <c r="F11" s="42"/>
      <c r="G11" s="42"/>
      <c r="H11" s="42"/>
      <c r="I11" s="42"/>
      <c r="J11" s="42"/>
    </row>
    <row r="12" spans="1:26" ht="12.75" customHeight="1"/>
    <row r="13" spans="1:26" ht="138.75" customHeight="1">
      <c r="A13" s="292" t="s">
        <v>225</v>
      </c>
      <c r="B13" s="290"/>
      <c r="C13" s="290"/>
      <c r="D13" s="290"/>
      <c r="E13" s="290"/>
      <c r="F13" s="290"/>
      <c r="G13" s="290"/>
      <c r="H13" s="290"/>
      <c r="I13" s="290"/>
      <c r="J13" s="291"/>
    </row>
    <row r="14" spans="1:26" ht="12.75" customHeight="1"/>
    <row r="15" spans="1:26" ht="75" customHeight="1">
      <c r="A15" s="292" t="s">
        <v>226</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B00-000000000000}"/>
    <hyperlink ref="C9" r:id="rId2" xr:uid="{00000000-0004-0000-0B00-000001000000}"/>
    <hyperlink ref="C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topLeftCell="A14" workbookViewId="0">
      <selection activeCell="E32" sqref="E32"/>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49.6640625" customWidth="1"/>
    <col min="11" max="11" width="11.88671875" customWidth="1"/>
    <col min="12" max="12" width="9.77734375" customWidth="1"/>
    <col min="13" max="13" width="15" customWidth="1"/>
    <col min="14"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18" customHeight="1">
      <c r="A7" s="293" t="s">
        <v>227</v>
      </c>
      <c r="B7" s="290"/>
      <c r="C7" s="290"/>
      <c r="D7" s="290"/>
      <c r="E7" s="290"/>
      <c r="F7" s="290"/>
      <c r="G7" s="290"/>
      <c r="H7" s="290"/>
      <c r="I7" s="290"/>
      <c r="J7" s="291"/>
    </row>
    <row r="8" spans="1:26" ht="50.25" customHeight="1">
      <c r="A8" s="9"/>
      <c r="B8" s="10" t="s">
        <v>228</v>
      </c>
      <c r="C8" s="10" t="s">
        <v>229</v>
      </c>
      <c r="D8" s="10" t="s">
        <v>230</v>
      </c>
      <c r="E8" s="10" t="s">
        <v>231</v>
      </c>
      <c r="F8" s="11" t="s">
        <v>232</v>
      </c>
      <c r="G8" s="57" t="s">
        <v>233</v>
      </c>
      <c r="H8" s="10" t="s">
        <v>13</v>
      </c>
      <c r="I8" s="10" t="s">
        <v>234</v>
      </c>
      <c r="J8" s="10" t="s">
        <v>235</v>
      </c>
    </row>
    <row r="9" spans="1:26" ht="50.25" customHeight="1">
      <c r="A9" s="14" t="s">
        <v>17</v>
      </c>
      <c r="B9" s="77" t="s">
        <v>236</v>
      </c>
      <c r="C9" s="78" t="s">
        <v>237</v>
      </c>
      <c r="D9" s="77" t="s">
        <v>238</v>
      </c>
      <c r="E9" s="76">
        <v>18482.7</v>
      </c>
      <c r="F9" s="76">
        <v>21994.41</v>
      </c>
      <c r="G9" s="39">
        <v>5</v>
      </c>
      <c r="H9" s="80">
        <v>3685.53</v>
      </c>
      <c r="I9" s="77" t="s">
        <v>20</v>
      </c>
      <c r="J9" s="77" t="s">
        <v>239</v>
      </c>
    </row>
    <row r="10" spans="1:26" ht="50.25" customHeight="1">
      <c r="A10" s="14" t="s">
        <v>23</v>
      </c>
      <c r="B10" s="77" t="s">
        <v>236</v>
      </c>
      <c r="C10" s="16" t="s">
        <v>240</v>
      </c>
      <c r="D10" s="77" t="s">
        <v>241</v>
      </c>
      <c r="E10" s="76">
        <v>48717.17</v>
      </c>
      <c r="F10" s="81">
        <v>57973.43</v>
      </c>
      <c r="G10" s="39">
        <v>13.25</v>
      </c>
      <c r="H10" s="80">
        <v>3685.53</v>
      </c>
      <c r="I10" s="77" t="s">
        <v>20</v>
      </c>
      <c r="J10" s="77" t="s">
        <v>242</v>
      </c>
    </row>
    <row r="11" spans="1:26" ht="50.25" customHeight="1">
      <c r="A11" s="14" t="s">
        <v>28</v>
      </c>
      <c r="B11" s="77" t="s">
        <v>243</v>
      </c>
      <c r="C11" s="82" t="s">
        <v>244</v>
      </c>
      <c r="D11" s="77" t="s">
        <v>245</v>
      </c>
      <c r="E11" s="76">
        <v>146000</v>
      </c>
      <c r="F11" s="76">
        <v>93415</v>
      </c>
      <c r="G11" s="39">
        <v>23.35</v>
      </c>
      <c r="H11" s="80">
        <v>3685.53</v>
      </c>
      <c r="I11" s="77" t="s">
        <v>20</v>
      </c>
      <c r="J11" s="77" t="s">
        <v>246</v>
      </c>
    </row>
    <row r="12" spans="1:26" ht="50.25" customHeight="1">
      <c r="A12" s="83"/>
      <c r="B12" s="84"/>
      <c r="C12" s="85"/>
      <c r="D12" s="84"/>
      <c r="E12" s="86"/>
      <c r="F12" s="86"/>
      <c r="G12" s="87"/>
      <c r="H12" s="88"/>
      <c r="I12" s="84"/>
      <c r="J12" s="84"/>
    </row>
    <row r="13" spans="1:26" ht="15.75" customHeight="1">
      <c r="A13" s="294" t="s">
        <v>247</v>
      </c>
      <c r="B13" s="295"/>
      <c r="C13" s="295"/>
      <c r="D13" s="295"/>
      <c r="E13" s="295"/>
      <c r="F13" s="295"/>
      <c r="G13" s="295"/>
      <c r="H13" s="295"/>
      <c r="I13" s="295"/>
      <c r="J13" s="296"/>
    </row>
    <row r="14" spans="1:26" ht="75.75" customHeight="1">
      <c r="A14" s="9" t="s">
        <v>6</v>
      </c>
      <c r="B14" s="32" t="s">
        <v>248</v>
      </c>
      <c r="C14" s="32" t="s">
        <v>249</v>
      </c>
      <c r="D14" s="32" t="s">
        <v>250</v>
      </c>
      <c r="E14" s="32" t="s">
        <v>251</v>
      </c>
      <c r="F14" s="33" t="s">
        <v>252</v>
      </c>
      <c r="G14" s="34" t="s">
        <v>253</v>
      </c>
      <c r="H14" s="32" t="s">
        <v>13</v>
      </c>
      <c r="I14" s="32" t="s">
        <v>254</v>
      </c>
      <c r="J14" s="32" t="s">
        <v>255</v>
      </c>
      <c r="K14" s="13"/>
      <c r="L14" s="13"/>
      <c r="M14" s="13"/>
      <c r="N14" s="13"/>
      <c r="O14" s="13"/>
      <c r="P14" s="13"/>
      <c r="Q14" s="13"/>
      <c r="R14" s="13"/>
      <c r="S14" s="13"/>
      <c r="T14" s="13"/>
      <c r="U14" s="13"/>
      <c r="V14" s="13"/>
      <c r="W14" s="13"/>
      <c r="X14" s="13"/>
      <c r="Y14" s="13"/>
      <c r="Z14" s="13"/>
    </row>
    <row r="15" spans="1:26" ht="50.25" customHeight="1">
      <c r="A15" s="35" t="s">
        <v>17</v>
      </c>
      <c r="B15" s="77" t="s">
        <v>256</v>
      </c>
      <c r="C15" s="89" t="s">
        <v>257</v>
      </c>
      <c r="D15" s="77" t="s">
        <v>258</v>
      </c>
      <c r="E15" s="76">
        <v>18427.650000000001</v>
      </c>
      <c r="F15" s="76">
        <v>21928.9</v>
      </c>
      <c r="G15" s="79">
        <v>5</v>
      </c>
      <c r="H15" s="80">
        <v>3685.53</v>
      </c>
      <c r="I15" s="77" t="s">
        <v>20</v>
      </c>
      <c r="J15" s="77" t="s">
        <v>259</v>
      </c>
    </row>
    <row r="16" spans="1:26" ht="50.25" customHeight="1">
      <c r="A16" s="35" t="s">
        <v>23</v>
      </c>
      <c r="B16" s="77" t="s">
        <v>260</v>
      </c>
      <c r="C16" s="90" t="s">
        <v>261</v>
      </c>
      <c r="D16" s="77" t="s">
        <v>262</v>
      </c>
      <c r="E16" s="76">
        <v>73710.600000000006</v>
      </c>
      <c r="F16" s="81">
        <v>87715.61</v>
      </c>
      <c r="G16" s="39">
        <v>20</v>
      </c>
      <c r="H16" s="91">
        <v>3685.53</v>
      </c>
      <c r="I16" s="77" t="s">
        <v>20</v>
      </c>
      <c r="J16" s="77" t="s">
        <v>242</v>
      </c>
    </row>
    <row r="17" spans="1:10" ht="72.75" customHeight="1">
      <c r="A17" s="35" t="s">
        <v>28</v>
      </c>
      <c r="B17" s="77" t="s">
        <v>263</v>
      </c>
      <c r="C17" s="82" t="s">
        <v>264</v>
      </c>
      <c r="D17" s="77" t="s">
        <v>265</v>
      </c>
      <c r="E17" s="76">
        <v>147421.20000000001</v>
      </c>
      <c r="F17" s="76">
        <v>175431.22</v>
      </c>
      <c r="G17" s="39">
        <v>40</v>
      </c>
      <c r="H17" s="80">
        <v>3685.53</v>
      </c>
      <c r="I17" s="77" t="s">
        <v>20</v>
      </c>
      <c r="J17" s="77" t="s">
        <v>266</v>
      </c>
    </row>
    <row r="18" spans="1:10" ht="15" hidden="1" customHeight="1">
      <c r="A18" s="29"/>
      <c r="B18" s="42"/>
      <c r="C18" s="42"/>
      <c r="D18" s="42"/>
      <c r="E18" s="42"/>
      <c r="F18" s="42"/>
      <c r="G18" s="42"/>
      <c r="H18" s="42"/>
      <c r="I18" s="42"/>
      <c r="J18" s="42"/>
    </row>
    <row r="19" spans="1:10" ht="15.75" customHeight="1">
      <c r="A19" s="293" t="s">
        <v>267</v>
      </c>
      <c r="B19" s="290"/>
      <c r="C19" s="290"/>
      <c r="D19" s="290"/>
      <c r="E19" s="290"/>
      <c r="F19" s="290"/>
      <c r="G19" s="290"/>
      <c r="H19" s="290"/>
      <c r="I19" s="290"/>
      <c r="J19" s="291"/>
    </row>
    <row r="20" spans="1:10" ht="45" customHeight="1">
      <c r="A20" s="92" t="s">
        <v>6</v>
      </c>
      <c r="B20" s="93" t="s">
        <v>268</v>
      </c>
      <c r="C20" s="93" t="s">
        <v>269</v>
      </c>
      <c r="D20" s="93" t="s">
        <v>270</v>
      </c>
      <c r="E20" s="93" t="s">
        <v>271</v>
      </c>
      <c r="F20" s="94" t="s">
        <v>272</v>
      </c>
      <c r="G20" s="95" t="s">
        <v>273</v>
      </c>
      <c r="H20" s="93" t="s">
        <v>13</v>
      </c>
      <c r="I20" s="93" t="s">
        <v>274</v>
      </c>
      <c r="J20" s="93" t="s">
        <v>275</v>
      </c>
    </row>
    <row r="21" spans="1:10" ht="45" customHeight="1">
      <c r="A21" s="96" t="s">
        <v>17</v>
      </c>
      <c r="B21" s="97" t="s">
        <v>276</v>
      </c>
      <c r="C21" s="98" t="s">
        <v>277</v>
      </c>
      <c r="D21" s="99" t="s">
        <v>278</v>
      </c>
      <c r="E21" s="100">
        <v>153318.04</v>
      </c>
      <c r="F21" s="100">
        <v>182448.47</v>
      </c>
      <c r="G21" s="101">
        <v>41.6</v>
      </c>
      <c r="H21" s="102">
        <v>3685.53</v>
      </c>
      <c r="I21" s="62" t="s">
        <v>20</v>
      </c>
      <c r="J21" s="62" t="s">
        <v>279</v>
      </c>
    </row>
    <row r="22" spans="1:10" ht="64.5" customHeight="1">
      <c r="A22" s="96" t="s">
        <v>23</v>
      </c>
      <c r="B22" s="103" t="s">
        <v>280</v>
      </c>
      <c r="C22" s="104" t="s">
        <v>281</v>
      </c>
      <c r="D22" s="62" t="s">
        <v>282</v>
      </c>
      <c r="E22" s="100">
        <v>22113.45</v>
      </c>
      <c r="F22" s="105">
        <v>26315</v>
      </c>
      <c r="G22" s="106">
        <v>6</v>
      </c>
      <c r="H22" s="102">
        <v>3685.53</v>
      </c>
      <c r="I22" s="62" t="s">
        <v>20</v>
      </c>
      <c r="J22" s="77" t="s">
        <v>283</v>
      </c>
    </row>
    <row r="23" spans="1:10" ht="57" customHeight="1">
      <c r="A23" s="96" t="s">
        <v>28</v>
      </c>
      <c r="B23" s="97" t="s">
        <v>284</v>
      </c>
      <c r="C23" s="107" t="s">
        <v>285</v>
      </c>
      <c r="D23" s="62" t="s">
        <v>286</v>
      </c>
      <c r="E23" s="100">
        <v>132681.51</v>
      </c>
      <c r="F23" s="100">
        <v>157891</v>
      </c>
      <c r="G23" s="106">
        <v>36</v>
      </c>
      <c r="H23" s="102">
        <v>3685.53</v>
      </c>
      <c r="I23" s="62" t="s">
        <v>20</v>
      </c>
      <c r="J23" s="97" t="s">
        <v>287</v>
      </c>
    </row>
    <row r="24" spans="1:10" ht="18" customHeight="1">
      <c r="A24" s="293" t="s">
        <v>288</v>
      </c>
      <c r="B24" s="290"/>
      <c r="C24" s="290"/>
      <c r="D24" s="290"/>
      <c r="E24" s="290"/>
      <c r="F24" s="290"/>
      <c r="G24" s="290"/>
      <c r="H24" s="290"/>
      <c r="I24" s="290"/>
      <c r="J24" s="291"/>
    </row>
    <row r="25" spans="1:10" ht="46.5" customHeight="1">
      <c r="A25" s="92" t="s">
        <v>6</v>
      </c>
      <c r="B25" s="93" t="s">
        <v>289</v>
      </c>
      <c r="C25" s="93" t="s">
        <v>290</v>
      </c>
      <c r="D25" s="93" t="s">
        <v>291</v>
      </c>
      <c r="E25" s="93" t="s">
        <v>292</v>
      </c>
      <c r="F25" s="94" t="s">
        <v>293</v>
      </c>
      <c r="G25" s="95" t="s">
        <v>294</v>
      </c>
      <c r="H25" s="93" t="s">
        <v>13</v>
      </c>
      <c r="I25" s="93" t="s">
        <v>295</v>
      </c>
      <c r="J25" s="93" t="s">
        <v>296</v>
      </c>
    </row>
    <row r="26" spans="1:10" ht="46.5" customHeight="1">
      <c r="A26" s="96" t="s">
        <v>17</v>
      </c>
      <c r="B26" s="97" t="s">
        <v>297</v>
      </c>
      <c r="C26" s="98" t="s">
        <v>298</v>
      </c>
      <c r="D26" s="99" t="s">
        <v>299</v>
      </c>
      <c r="E26" s="108">
        <v>36858.39</v>
      </c>
      <c r="F26" s="108">
        <v>43861.48</v>
      </c>
      <c r="G26" s="109">
        <v>12</v>
      </c>
      <c r="H26" s="110">
        <v>3685.53</v>
      </c>
      <c r="I26" s="97" t="s">
        <v>20</v>
      </c>
      <c r="J26" s="97" t="s">
        <v>300</v>
      </c>
    </row>
    <row r="27" spans="1:10" ht="46.5" customHeight="1">
      <c r="A27" s="96" t="s">
        <v>23</v>
      </c>
      <c r="B27" s="97" t="s">
        <v>301</v>
      </c>
      <c r="C27" s="111" t="s">
        <v>302</v>
      </c>
      <c r="D27" s="97" t="s">
        <v>303</v>
      </c>
      <c r="E27" s="108">
        <v>37472.69</v>
      </c>
      <c r="F27" s="112">
        <v>44592.5</v>
      </c>
      <c r="G27" s="113">
        <v>12.5</v>
      </c>
      <c r="H27" s="110">
        <v>3685.53</v>
      </c>
      <c r="I27" s="97" t="s">
        <v>20</v>
      </c>
      <c r="J27" s="97" t="s">
        <v>304</v>
      </c>
    </row>
    <row r="28" spans="1:10" ht="46.5" customHeight="1">
      <c r="A28" s="96" t="s">
        <v>28</v>
      </c>
      <c r="B28" s="97" t="s">
        <v>305</v>
      </c>
      <c r="C28" s="107" t="s">
        <v>306</v>
      </c>
      <c r="D28" s="97" t="s">
        <v>307</v>
      </c>
      <c r="E28" s="108">
        <v>76788.3</v>
      </c>
      <c r="F28" s="108">
        <v>91378.08</v>
      </c>
      <c r="G28" s="113">
        <v>25</v>
      </c>
      <c r="H28" s="110">
        <v>3685.53</v>
      </c>
      <c r="I28" s="97" t="s">
        <v>20</v>
      </c>
      <c r="J28" s="97" t="s">
        <v>308</v>
      </c>
    </row>
    <row r="29" spans="1:10" ht="15" customHeight="1">
      <c r="A29" s="293" t="s">
        <v>309</v>
      </c>
      <c r="B29" s="290"/>
      <c r="C29" s="290"/>
      <c r="D29" s="290"/>
      <c r="E29" s="290"/>
      <c r="F29" s="290"/>
      <c r="G29" s="290"/>
      <c r="H29" s="290"/>
      <c r="I29" s="290"/>
      <c r="J29" s="291"/>
    </row>
    <row r="30" spans="1:10" ht="47.25" customHeight="1">
      <c r="A30" s="92" t="s">
        <v>6</v>
      </c>
      <c r="B30" s="93" t="s">
        <v>310</v>
      </c>
      <c r="C30" s="93" t="s">
        <v>311</v>
      </c>
      <c r="D30" s="93" t="s">
        <v>312</v>
      </c>
      <c r="E30" s="93" t="s">
        <v>313</v>
      </c>
      <c r="F30" s="94" t="s">
        <v>314</v>
      </c>
      <c r="G30" s="95" t="s">
        <v>315</v>
      </c>
      <c r="H30" s="93" t="s">
        <v>13</v>
      </c>
      <c r="I30" s="93" t="s">
        <v>316</v>
      </c>
      <c r="J30" s="93" t="s">
        <v>317</v>
      </c>
    </row>
    <row r="31" spans="1:10" ht="47.25" customHeight="1">
      <c r="A31" s="96" t="s">
        <v>17</v>
      </c>
      <c r="B31" s="97" t="s">
        <v>280</v>
      </c>
      <c r="C31" s="114" t="s">
        <v>318</v>
      </c>
      <c r="D31" s="115" t="s">
        <v>319</v>
      </c>
      <c r="E31" s="101">
        <v>0</v>
      </c>
      <c r="F31" s="101">
        <v>0</v>
      </c>
      <c r="G31" s="101">
        <v>0</v>
      </c>
      <c r="H31" s="102">
        <v>3685.53</v>
      </c>
      <c r="I31" s="62" t="s">
        <v>20</v>
      </c>
      <c r="J31" s="97" t="s">
        <v>320</v>
      </c>
    </row>
    <row r="32" spans="1:10" ht="47.25" customHeight="1">
      <c r="A32" s="96" t="s">
        <v>23</v>
      </c>
      <c r="B32" s="97" t="s">
        <v>321</v>
      </c>
      <c r="C32" s="111" t="s">
        <v>322</v>
      </c>
      <c r="D32" s="62" t="s">
        <v>323</v>
      </c>
      <c r="E32" s="100">
        <v>176900.84</v>
      </c>
      <c r="F32" s="116">
        <v>210512</v>
      </c>
      <c r="G32" s="106">
        <v>48</v>
      </c>
      <c r="H32" s="102">
        <v>3685.53</v>
      </c>
      <c r="I32" s="62" t="s">
        <v>20</v>
      </c>
      <c r="J32" s="97" t="s">
        <v>324</v>
      </c>
    </row>
    <row r="33" spans="1:10" ht="47.25" customHeight="1">
      <c r="A33" s="96" t="s">
        <v>28</v>
      </c>
      <c r="B33" s="97" t="s">
        <v>325</v>
      </c>
      <c r="C33" s="107" t="s">
        <v>326</v>
      </c>
      <c r="D33" s="62" t="s">
        <v>327</v>
      </c>
      <c r="E33" s="100">
        <v>767883</v>
      </c>
      <c r="F33" s="100">
        <v>913780.77</v>
      </c>
      <c r="G33" s="106">
        <v>250</v>
      </c>
      <c r="H33" s="102">
        <v>3685.53</v>
      </c>
      <c r="I33" s="62" t="s">
        <v>20</v>
      </c>
      <c r="J33" s="97" t="s">
        <v>328</v>
      </c>
    </row>
    <row r="34" spans="1:10" ht="17.25" customHeight="1">
      <c r="A34" s="293" t="s">
        <v>329</v>
      </c>
      <c r="B34" s="290"/>
      <c r="C34" s="290"/>
      <c r="D34" s="290"/>
      <c r="E34" s="290"/>
      <c r="F34" s="290"/>
      <c r="G34" s="290"/>
      <c r="H34" s="290"/>
      <c r="I34" s="290"/>
      <c r="J34" s="291"/>
    </row>
    <row r="35" spans="1:10" ht="43.5" customHeight="1">
      <c r="A35" s="92" t="s">
        <v>6</v>
      </c>
      <c r="B35" s="93" t="s">
        <v>330</v>
      </c>
      <c r="C35" s="93" t="s">
        <v>331</v>
      </c>
      <c r="D35" s="93" t="s">
        <v>332</v>
      </c>
      <c r="E35" s="93" t="s">
        <v>333</v>
      </c>
      <c r="F35" s="94" t="s">
        <v>334</v>
      </c>
      <c r="G35" s="95" t="s">
        <v>335</v>
      </c>
      <c r="H35" s="93" t="s">
        <v>13</v>
      </c>
      <c r="I35" s="93" t="s">
        <v>336</v>
      </c>
      <c r="J35" s="93" t="s">
        <v>337</v>
      </c>
    </row>
    <row r="36" spans="1:10" ht="43.5" customHeight="1">
      <c r="A36" s="96" t="s">
        <v>17</v>
      </c>
      <c r="B36" s="97" t="s">
        <v>338</v>
      </c>
      <c r="C36" s="114" t="s">
        <v>339</v>
      </c>
      <c r="D36" s="117" t="s">
        <v>340</v>
      </c>
      <c r="E36" s="100">
        <v>18426.89</v>
      </c>
      <c r="F36" s="100">
        <v>21928</v>
      </c>
      <c r="G36" s="101">
        <v>5</v>
      </c>
      <c r="H36" s="102">
        <v>3685.53</v>
      </c>
      <c r="I36" s="62" t="s">
        <v>20</v>
      </c>
      <c r="J36" s="97" t="s">
        <v>341</v>
      </c>
    </row>
    <row r="37" spans="1:10" ht="43.5" customHeight="1">
      <c r="A37" s="96" t="s">
        <v>23</v>
      </c>
      <c r="B37" s="97" t="s">
        <v>342</v>
      </c>
      <c r="C37" s="111" t="s">
        <v>343</v>
      </c>
      <c r="D37" s="62" t="s">
        <v>344</v>
      </c>
      <c r="E37" s="101">
        <v>0</v>
      </c>
      <c r="F37" s="101">
        <v>0</v>
      </c>
      <c r="G37" s="101">
        <v>0</v>
      </c>
      <c r="H37" s="102">
        <v>3685.53</v>
      </c>
      <c r="I37" s="62" t="s">
        <v>20</v>
      </c>
      <c r="J37" s="97" t="s">
        <v>345</v>
      </c>
    </row>
    <row r="38" spans="1:10" ht="43.5" customHeight="1">
      <c r="A38" s="96" t="s">
        <v>28</v>
      </c>
      <c r="B38" s="97" t="s">
        <v>346</v>
      </c>
      <c r="C38" s="107" t="s">
        <v>347</v>
      </c>
      <c r="D38" s="62" t="s">
        <v>348</v>
      </c>
      <c r="E38" s="100">
        <v>61430.64</v>
      </c>
      <c r="F38" s="101">
        <v>73102.460000000006</v>
      </c>
      <c r="G38" s="101">
        <v>20</v>
      </c>
      <c r="H38" s="102">
        <v>3685.53</v>
      </c>
      <c r="I38" s="62" t="s">
        <v>20</v>
      </c>
      <c r="J38" s="97" t="s">
        <v>349</v>
      </c>
    </row>
    <row r="39" spans="1:10" ht="18" customHeight="1">
      <c r="A39" s="293" t="s">
        <v>350</v>
      </c>
      <c r="B39" s="290"/>
      <c r="C39" s="290"/>
      <c r="D39" s="290"/>
      <c r="E39" s="290"/>
      <c r="F39" s="290"/>
      <c r="G39" s="290"/>
      <c r="H39" s="290"/>
      <c r="I39" s="290"/>
      <c r="J39" s="291"/>
    </row>
    <row r="40" spans="1:10" ht="41.25" customHeight="1">
      <c r="A40" s="92" t="s">
        <v>6</v>
      </c>
      <c r="B40" s="93" t="s">
        <v>351</v>
      </c>
      <c r="C40" s="93" t="s">
        <v>352</v>
      </c>
      <c r="D40" s="93" t="s">
        <v>353</v>
      </c>
      <c r="E40" s="93" t="s">
        <v>354</v>
      </c>
      <c r="F40" s="94" t="s">
        <v>355</v>
      </c>
      <c r="G40" s="95" t="s">
        <v>356</v>
      </c>
      <c r="H40" s="93" t="s">
        <v>13</v>
      </c>
      <c r="I40" s="93" t="s">
        <v>357</v>
      </c>
      <c r="J40" s="93" t="s">
        <v>358</v>
      </c>
    </row>
    <row r="41" spans="1:10" ht="41.25" customHeight="1">
      <c r="A41" s="96" t="s">
        <v>17</v>
      </c>
      <c r="B41" s="97" t="s">
        <v>359</v>
      </c>
      <c r="C41" s="114" t="s">
        <v>360</v>
      </c>
      <c r="D41" s="115" t="s">
        <v>361</v>
      </c>
      <c r="E41" s="101">
        <v>0</v>
      </c>
      <c r="F41" s="101">
        <v>0</v>
      </c>
      <c r="G41" s="101">
        <v>0</v>
      </c>
      <c r="H41" s="102">
        <v>3685.53</v>
      </c>
      <c r="I41" s="62" t="s">
        <v>20</v>
      </c>
      <c r="J41" s="97" t="s">
        <v>362</v>
      </c>
    </row>
    <row r="42" spans="1:10" ht="41.25" customHeight="1">
      <c r="A42" s="96" t="s">
        <v>23</v>
      </c>
      <c r="B42" s="97" t="s">
        <v>363</v>
      </c>
      <c r="C42" s="111" t="s">
        <v>364</v>
      </c>
      <c r="D42" s="62" t="s">
        <v>365</v>
      </c>
      <c r="E42" s="100">
        <v>109377.25</v>
      </c>
      <c r="F42" s="116">
        <v>130158.93</v>
      </c>
      <c r="G42" s="106">
        <v>35.61</v>
      </c>
      <c r="H42" s="102">
        <v>3685.53</v>
      </c>
      <c r="I42" s="62" t="s">
        <v>20</v>
      </c>
      <c r="J42" s="97" t="s">
        <v>366</v>
      </c>
    </row>
    <row r="43" spans="1:10" ht="41.25" customHeight="1">
      <c r="A43" s="96" t="s">
        <v>28</v>
      </c>
      <c r="B43" s="97" t="s">
        <v>367</v>
      </c>
      <c r="C43" s="107" t="s">
        <v>368</v>
      </c>
      <c r="D43" s="62" t="s">
        <v>369</v>
      </c>
      <c r="E43" s="100">
        <v>76788.3</v>
      </c>
      <c r="F43" s="100" t="s">
        <v>370</v>
      </c>
      <c r="G43" s="106">
        <v>25</v>
      </c>
      <c r="H43" s="102">
        <v>3685.53</v>
      </c>
      <c r="I43" s="62" t="s">
        <v>20</v>
      </c>
      <c r="J43" s="97" t="s">
        <v>371</v>
      </c>
    </row>
    <row r="44" spans="1:10" ht="16.5" customHeight="1">
      <c r="A44" s="293" t="s">
        <v>372</v>
      </c>
      <c r="B44" s="290"/>
      <c r="C44" s="290"/>
      <c r="D44" s="290"/>
      <c r="E44" s="290"/>
      <c r="F44" s="290"/>
      <c r="G44" s="290"/>
      <c r="H44" s="290"/>
      <c r="I44" s="290"/>
      <c r="J44" s="291"/>
    </row>
    <row r="45" spans="1:10" ht="45" customHeight="1">
      <c r="A45" s="92" t="s">
        <v>6</v>
      </c>
      <c r="B45" s="93" t="s">
        <v>373</v>
      </c>
      <c r="C45" s="93" t="s">
        <v>374</v>
      </c>
      <c r="D45" s="93" t="s">
        <v>375</v>
      </c>
      <c r="E45" s="93" t="s">
        <v>376</v>
      </c>
      <c r="F45" s="94" t="s">
        <v>377</v>
      </c>
      <c r="G45" s="95" t="s">
        <v>378</v>
      </c>
      <c r="H45" s="93" t="s">
        <v>13</v>
      </c>
      <c r="I45" s="93" t="s">
        <v>379</v>
      </c>
      <c r="J45" s="93" t="s">
        <v>380</v>
      </c>
    </row>
    <row r="46" spans="1:10" ht="45" customHeight="1">
      <c r="A46" s="96" t="s">
        <v>17</v>
      </c>
      <c r="B46" s="97" t="s">
        <v>381</v>
      </c>
      <c r="C46" s="114" t="s">
        <v>382</v>
      </c>
      <c r="D46" s="115" t="s">
        <v>383</v>
      </c>
      <c r="E46" s="100">
        <v>46072.98</v>
      </c>
      <c r="F46" s="100" t="s">
        <v>384</v>
      </c>
      <c r="G46" s="101">
        <v>15</v>
      </c>
      <c r="H46" s="102">
        <v>3685.53</v>
      </c>
      <c r="I46" s="62" t="s">
        <v>20</v>
      </c>
      <c r="J46" s="97" t="s">
        <v>385</v>
      </c>
    </row>
    <row r="47" spans="1:10" ht="45" customHeight="1">
      <c r="A47" s="96" t="s">
        <v>23</v>
      </c>
      <c r="B47" s="97" t="s">
        <v>386</v>
      </c>
      <c r="C47" s="111" t="s">
        <v>387</v>
      </c>
      <c r="D47" s="62" t="s">
        <v>388</v>
      </c>
      <c r="E47" s="100">
        <v>73710.080000000002</v>
      </c>
      <c r="F47" s="116">
        <v>87715</v>
      </c>
      <c r="G47" s="106">
        <v>20</v>
      </c>
      <c r="H47" s="102">
        <v>3685.53</v>
      </c>
      <c r="I47" s="62" t="s">
        <v>20</v>
      </c>
      <c r="J47" s="97" t="s">
        <v>389</v>
      </c>
    </row>
    <row r="48" spans="1:10" ht="45" customHeight="1">
      <c r="A48" s="96" t="s">
        <v>28</v>
      </c>
      <c r="B48" s="97" t="s">
        <v>390</v>
      </c>
      <c r="C48" s="107" t="s">
        <v>391</v>
      </c>
      <c r="D48" s="62" t="s">
        <v>344</v>
      </c>
      <c r="E48" s="101">
        <v>0</v>
      </c>
      <c r="F48" s="101">
        <v>0</v>
      </c>
      <c r="G48" s="101">
        <v>0</v>
      </c>
      <c r="H48" s="102">
        <v>3685.53</v>
      </c>
      <c r="I48" s="62" t="s">
        <v>20</v>
      </c>
      <c r="J48" s="97" t="s">
        <v>392</v>
      </c>
    </row>
    <row r="49" spans="5:5" ht="12.75" customHeight="1">
      <c r="E49" s="118"/>
    </row>
    <row r="50" spans="5:5" ht="12.75" customHeight="1"/>
    <row r="51" spans="5:5" ht="12.75" customHeight="1"/>
    <row r="52" spans="5:5" ht="12.75" customHeight="1"/>
    <row r="53" spans="5:5" ht="12.75" customHeight="1"/>
    <row r="54" spans="5:5" ht="12.75" customHeight="1"/>
    <row r="55" spans="5:5" ht="12.75" customHeight="1"/>
    <row r="56" spans="5:5" ht="12.75" customHeight="1"/>
    <row r="57" spans="5:5" ht="12.75" customHeight="1"/>
    <row r="58" spans="5:5" ht="12.75" customHeight="1"/>
    <row r="59" spans="5:5" ht="12.75" customHeight="1"/>
    <row r="60" spans="5:5" ht="12.75" customHeight="1"/>
    <row r="61" spans="5:5" ht="12.75" customHeight="1"/>
    <row r="62" spans="5:5" ht="12.75" customHeight="1"/>
    <row r="63" spans="5:5" ht="12.75" customHeight="1"/>
    <row r="64" spans="5:5"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0">
    <mergeCell ref="A34:J34"/>
    <mergeCell ref="A39:J39"/>
    <mergeCell ref="A44:J44"/>
    <mergeCell ref="D2:H2"/>
    <mergeCell ref="A5:J5"/>
    <mergeCell ref="A7:J7"/>
    <mergeCell ref="A13:J13"/>
    <mergeCell ref="A19:J19"/>
    <mergeCell ref="A24:J24"/>
    <mergeCell ref="A29:J29"/>
  </mergeCells>
  <hyperlinks>
    <hyperlink ref="C9" r:id="rId1" location="managed-data-services" xr:uid="{00000000-0004-0000-0C00-000000000000}"/>
    <hyperlink ref="C10" r:id="rId2" xr:uid="{00000000-0004-0000-0C00-000001000000}"/>
    <hyperlink ref="C11" r:id="rId3" xr:uid="{00000000-0004-0000-0C00-000002000000}"/>
    <hyperlink ref="C15" r:id="rId4" xr:uid="{00000000-0004-0000-0C00-000003000000}"/>
    <hyperlink ref="C16" r:id="rId5" xr:uid="{00000000-0004-0000-0C00-000004000000}"/>
    <hyperlink ref="C17" r:id="rId6" xr:uid="{00000000-0004-0000-0C00-000005000000}"/>
    <hyperlink ref="C21" r:id="rId7" xr:uid="{00000000-0004-0000-0C00-000006000000}"/>
    <hyperlink ref="C22" r:id="rId8" xr:uid="{00000000-0004-0000-0C00-000007000000}"/>
    <hyperlink ref="C23" r:id="rId9" xr:uid="{00000000-0004-0000-0C00-000008000000}"/>
    <hyperlink ref="C26" r:id="rId10" xr:uid="{00000000-0004-0000-0C00-000009000000}"/>
    <hyperlink ref="C27" r:id="rId11" xr:uid="{00000000-0004-0000-0C00-00000A000000}"/>
    <hyperlink ref="C28" r:id="rId12" xr:uid="{00000000-0004-0000-0C00-00000B000000}"/>
    <hyperlink ref="C31" r:id="rId13" xr:uid="{00000000-0004-0000-0C00-00000C000000}"/>
    <hyperlink ref="C32" r:id="rId14" xr:uid="{00000000-0004-0000-0C00-00000D000000}"/>
    <hyperlink ref="C33" r:id="rId15" location="pricing" xr:uid="{00000000-0004-0000-0C00-00000E000000}"/>
    <hyperlink ref="C36" r:id="rId16" location="compute" xr:uid="{00000000-0004-0000-0C00-00000F000000}"/>
    <hyperlink ref="C37" r:id="rId17" xr:uid="{00000000-0004-0000-0C00-000010000000}"/>
    <hyperlink ref="C38" r:id="rId18" xr:uid="{00000000-0004-0000-0C00-000011000000}"/>
    <hyperlink ref="C41" r:id="rId19" xr:uid="{00000000-0004-0000-0C00-000012000000}"/>
    <hyperlink ref="C42" r:id="rId20" xr:uid="{00000000-0004-0000-0C00-000013000000}"/>
    <hyperlink ref="C43" r:id="rId21" xr:uid="{00000000-0004-0000-0C00-000014000000}"/>
    <hyperlink ref="C46" r:id="rId22" xr:uid="{00000000-0004-0000-0C00-000015000000}"/>
    <hyperlink ref="C47" r:id="rId23" xr:uid="{00000000-0004-0000-0C00-000016000000}"/>
    <hyperlink ref="C48" r:id="rId24" xr:uid="{00000000-0004-0000-0C00-000017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78"/>
  <sheetViews>
    <sheetView topLeftCell="A26" workbookViewId="0">
      <selection activeCell="A5" sqref="A5:K5"/>
    </sheetView>
  </sheetViews>
  <sheetFormatPr baseColWidth="10" defaultColWidth="12.6640625" defaultRowHeight="15" customHeight="1"/>
  <cols>
    <col min="1" max="2" width="19.109375" customWidth="1"/>
    <col min="3" max="3" width="31.44140625" customWidth="1"/>
    <col min="4" max="4" width="26.21875" customWidth="1"/>
    <col min="5" max="6" width="17" customWidth="1"/>
    <col min="7" max="7" width="18" customWidth="1"/>
    <col min="8" max="8" width="17" customWidth="1"/>
    <col min="9" max="9" width="19.109375" customWidth="1"/>
    <col min="10" max="10" width="21.44140625" customWidth="1"/>
    <col min="11" max="11" width="33.109375" customWidth="1"/>
    <col min="12"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0"/>
      <c r="K5" s="291"/>
    </row>
    <row r="6" spans="1:26" ht="15.75" customHeight="1"/>
    <row r="7" spans="1:26" ht="15.75" customHeight="1">
      <c r="A7" s="293" t="s">
        <v>393</v>
      </c>
      <c r="B7" s="290"/>
      <c r="C7" s="290"/>
      <c r="D7" s="290"/>
      <c r="E7" s="290"/>
      <c r="F7" s="290"/>
      <c r="G7" s="290"/>
      <c r="H7" s="290"/>
      <c r="I7" s="290"/>
      <c r="J7" s="290"/>
      <c r="K7" s="291"/>
    </row>
    <row r="8" spans="1:26" ht="75.75" customHeight="1">
      <c r="A8" s="9" t="s">
        <v>6</v>
      </c>
      <c r="B8" s="32" t="s">
        <v>394</v>
      </c>
      <c r="C8" s="32" t="s">
        <v>395</v>
      </c>
      <c r="D8" s="32" t="s">
        <v>396</v>
      </c>
      <c r="E8" s="32" t="s">
        <v>397</v>
      </c>
      <c r="F8" s="33" t="s">
        <v>398</v>
      </c>
      <c r="G8" s="34" t="s">
        <v>399</v>
      </c>
      <c r="H8" s="32" t="s">
        <v>13</v>
      </c>
      <c r="I8" s="32" t="s">
        <v>400</v>
      </c>
      <c r="J8" s="32" t="s">
        <v>15</v>
      </c>
      <c r="K8" s="32" t="s">
        <v>401</v>
      </c>
      <c r="L8" s="13"/>
      <c r="M8" s="13"/>
      <c r="N8" s="13"/>
      <c r="O8" s="13"/>
      <c r="P8" s="13"/>
      <c r="Q8" s="13"/>
      <c r="R8" s="13"/>
      <c r="S8" s="13"/>
      <c r="T8" s="13"/>
      <c r="U8" s="13"/>
      <c r="V8" s="13"/>
      <c r="W8" s="13"/>
      <c r="X8" s="13"/>
      <c r="Y8" s="13"/>
      <c r="Z8" s="13"/>
    </row>
    <row r="9" spans="1:26" ht="50.25" customHeight="1">
      <c r="A9" s="35" t="s">
        <v>17</v>
      </c>
      <c r="B9" s="74" t="s">
        <v>29</v>
      </c>
      <c r="C9" s="70" t="s">
        <v>160</v>
      </c>
      <c r="D9" s="74" t="s">
        <v>161</v>
      </c>
      <c r="E9" s="75">
        <v>1014201.68</v>
      </c>
      <c r="F9" s="75">
        <v>1206900</v>
      </c>
      <c r="G9" s="119" t="s">
        <v>162</v>
      </c>
      <c r="H9" s="120">
        <v>3685.53</v>
      </c>
      <c r="I9" s="74" t="s">
        <v>20</v>
      </c>
      <c r="J9" s="74" t="s">
        <v>54</v>
      </c>
      <c r="K9" s="74" t="s">
        <v>163</v>
      </c>
    </row>
    <row r="10" spans="1:26" ht="50.25" customHeight="1">
      <c r="A10" s="35" t="s">
        <v>23</v>
      </c>
      <c r="B10" s="74" t="s">
        <v>51</v>
      </c>
      <c r="C10" s="70" t="s">
        <v>164</v>
      </c>
      <c r="D10" s="74" t="s">
        <v>161</v>
      </c>
      <c r="E10" s="75">
        <v>630168.06999999995</v>
      </c>
      <c r="F10" s="75">
        <v>749900</v>
      </c>
      <c r="G10" s="119" t="s">
        <v>165</v>
      </c>
      <c r="H10" s="120">
        <v>3685.53</v>
      </c>
      <c r="I10" s="74" t="s">
        <v>20</v>
      </c>
      <c r="J10" s="74" t="s">
        <v>21</v>
      </c>
      <c r="K10" s="74" t="s">
        <v>166</v>
      </c>
    </row>
    <row r="11" spans="1:26" ht="72.75" customHeight="1">
      <c r="A11" s="35" t="s">
        <v>28</v>
      </c>
      <c r="B11" s="74" t="s">
        <v>24</v>
      </c>
      <c r="C11" s="70" t="s">
        <v>167</v>
      </c>
      <c r="D11" s="74" t="s">
        <v>161</v>
      </c>
      <c r="E11" s="75">
        <v>755462.18</v>
      </c>
      <c r="F11" s="75">
        <v>899000</v>
      </c>
      <c r="G11" s="119" t="s">
        <v>168</v>
      </c>
      <c r="H11" s="120">
        <v>3685.53</v>
      </c>
      <c r="I11" s="74" t="s">
        <v>20</v>
      </c>
      <c r="J11" s="74" t="s">
        <v>21</v>
      </c>
      <c r="K11" s="17" t="s">
        <v>169</v>
      </c>
    </row>
    <row r="12" spans="1:26" ht="15" hidden="1" customHeight="1">
      <c r="A12" s="29"/>
      <c r="B12" s="42"/>
      <c r="C12" s="42"/>
      <c r="D12" s="42"/>
      <c r="E12" s="42"/>
      <c r="F12" s="42"/>
      <c r="G12" s="42"/>
      <c r="H12" s="42"/>
      <c r="I12" s="42"/>
      <c r="J12" s="42"/>
    </row>
    <row r="13" spans="1:26" ht="15.75" customHeight="1">
      <c r="A13" s="293" t="s">
        <v>402</v>
      </c>
      <c r="B13" s="290"/>
      <c r="C13" s="290"/>
      <c r="D13" s="290"/>
      <c r="E13" s="290"/>
      <c r="F13" s="290"/>
      <c r="G13" s="290"/>
      <c r="H13" s="290"/>
      <c r="I13" s="290"/>
      <c r="J13" s="290"/>
      <c r="K13" s="291"/>
    </row>
    <row r="14" spans="1:26" ht="45" customHeight="1">
      <c r="A14" s="92" t="s">
        <v>6</v>
      </c>
      <c r="B14" s="32" t="s">
        <v>403</v>
      </c>
      <c r="C14" s="32" t="s">
        <v>404</v>
      </c>
      <c r="D14" s="32" t="s">
        <v>405</v>
      </c>
      <c r="E14" s="32" t="s">
        <v>406</v>
      </c>
      <c r="F14" s="33" t="s">
        <v>407</v>
      </c>
      <c r="G14" s="34" t="s">
        <v>408</v>
      </c>
      <c r="H14" s="32" t="s">
        <v>13</v>
      </c>
      <c r="I14" s="32" t="s">
        <v>409</v>
      </c>
      <c r="J14" s="32" t="s">
        <v>15</v>
      </c>
      <c r="K14" s="32" t="s">
        <v>410</v>
      </c>
    </row>
    <row r="15" spans="1:26" ht="60.75" customHeight="1">
      <c r="A15" s="96" t="s">
        <v>17</v>
      </c>
      <c r="B15" s="74" t="s">
        <v>411</v>
      </c>
      <c r="C15" s="121" t="s">
        <v>412</v>
      </c>
      <c r="D15" s="74" t="s">
        <v>413</v>
      </c>
      <c r="E15" s="119">
        <v>510085.3</v>
      </c>
      <c r="F15" s="119">
        <v>607001.51</v>
      </c>
      <c r="G15" s="119">
        <v>164.99</v>
      </c>
      <c r="H15" s="120">
        <v>3685.53</v>
      </c>
      <c r="I15" s="74" t="s">
        <v>20</v>
      </c>
      <c r="J15" s="74" t="s">
        <v>414</v>
      </c>
      <c r="K15" s="74" t="s">
        <v>415</v>
      </c>
    </row>
    <row r="16" spans="1:26" ht="64.5" customHeight="1">
      <c r="A16" s="96" t="s">
        <v>23</v>
      </c>
      <c r="B16" s="74" t="s">
        <v>29</v>
      </c>
      <c r="C16" s="122" t="s">
        <v>416</v>
      </c>
      <c r="D16" s="123" t="s">
        <v>417</v>
      </c>
      <c r="E16" s="124">
        <v>378151</v>
      </c>
      <c r="F16" s="124">
        <v>450000</v>
      </c>
      <c r="G16" s="75">
        <v>122</v>
      </c>
      <c r="H16" s="120">
        <v>3685.53</v>
      </c>
      <c r="I16" s="74" t="s">
        <v>20</v>
      </c>
      <c r="J16" s="74" t="s">
        <v>414</v>
      </c>
      <c r="K16" s="74" t="s">
        <v>418</v>
      </c>
    </row>
    <row r="17" spans="1:11" ht="57" customHeight="1">
      <c r="A17" s="96" t="s">
        <v>28</v>
      </c>
      <c r="B17" s="74" t="s">
        <v>419</v>
      </c>
      <c r="C17" s="121" t="s">
        <v>420</v>
      </c>
      <c r="D17" s="74" t="s">
        <v>421</v>
      </c>
      <c r="E17" s="119">
        <v>546218.49</v>
      </c>
      <c r="F17" s="119">
        <v>650000</v>
      </c>
      <c r="G17" s="119">
        <v>178.29</v>
      </c>
      <c r="H17" s="120">
        <v>3685.53</v>
      </c>
      <c r="I17" s="74" t="s">
        <v>20</v>
      </c>
      <c r="J17" s="74" t="s">
        <v>422</v>
      </c>
      <c r="K17" s="17" t="s">
        <v>423</v>
      </c>
    </row>
    <row r="18" spans="1:11" ht="18" customHeight="1">
      <c r="A18" s="293" t="s">
        <v>424</v>
      </c>
      <c r="B18" s="290"/>
      <c r="C18" s="290"/>
      <c r="D18" s="290"/>
      <c r="E18" s="290"/>
      <c r="F18" s="290"/>
      <c r="G18" s="290"/>
      <c r="H18" s="290"/>
      <c r="I18" s="290"/>
      <c r="J18" s="290"/>
      <c r="K18" s="291"/>
    </row>
    <row r="19" spans="1:11" ht="46.5" customHeight="1">
      <c r="A19" s="92" t="s">
        <v>6</v>
      </c>
      <c r="B19" s="32" t="s">
        <v>425</v>
      </c>
      <c r="C19" s="32" t="s">
        <v>426</v>
      </c>
      <c r="D19" s="32" t="s">
        <v>427</v>
      </c>
      <c r="E19" s="32" t="s">
        <v>428</v>
      </c>
      <c r="F19" s="33" t="s">
        <v>429</v>
      </c>
      <c r="G19" s="34" t="s">
        <v>430</v>
      </c>
      <c r="H19" s="32" t="s">
        <v>13</v>
      </c>
      <c r="I19" s="32" t="s">
        <v>431</v>
      </c>
      <c r="J19" s="32" t="s">
        <v>15</v>
      </c>
      <c r="K19" s="32" t="s">
        <v>432</v>
      </c>
    </row>
    <row r="20" spans="1:11" ht="61.5" customHeight="1">
      <c r="A20" s="96" t="s">
        <v>17</v>
      </c>
      <c r="B20" s="74" t="s">
        <v>433</v>
      </c>
      <c r="C20" s="121" t="s">
        <v>434</v>
      </c>
      <c r="D20" s="74" t="s">
        <v>435</v>
      </c>
      <c r="E20" s="119">
        <v>739411.76</v>
      </c>
      <c r="F20" s="119">
        <v>879900</v>
      </c>
      <c r="G20" s="119" t="s">
        <v>436</v>
      </c>
      <c r="H20" s="120">
        <v>3685.53</v>
      </c>
      <c r="I20" s="74" t="s">
        <v>20</v>
      </c>
      <c r="J20" s="74" t="s">
        <v>21</v>
      </c>
      <c r="K20" s="74" t="s">
        <v>437</v>
      </c>
    </row>
    <row r="21" spans="1:11" ht="51" customHeight="1">
      <c r="A21" s="96" t="s">
        <v>23</v>
      </c>
      <c r="B21" s="74" t="s">
        <v>438</v>
      </c>
      <c r="C21" s="121" t="s">
        <v>439</v>
      </c>
      <c r="D21" s="74" t="s">
        <v>440</v>
      </c>
      <c r="E21" s="119">
        <v>474105.04</v>
      </c>
      <c r="F21" s="119">
        <v>564185</v>
      </c>
      <c r="G21" s="75" t="s">
        <v>441</v>
      </c>
      <c r="H21" s="120">
        <v>3685.53</v>
      </c>
      <c r="I21" s="74" t="s">
        <v>20</v>
      </c>
      <c r="J21" s="74" t="s">
        <v>54</v>
      </c>
      <c r="K21" s="74" t="s">
        <v>442</v>
      </c>
    </row>
    <row r="22" spans="1:11" ht="46.5" customHeight="1">
      <c r="A22" s="96" t="s">
        <v>28</v>
      </c>
      <c r="B22" s="74" t="s">
        <v>443</v>
      </c>
      <c r="C22" s="121" t="s">
        <v>444</v>
      </c>
      <c r="D22" s="74" t="s">
        <v>445</v>
      </c>
      <c r="E22" s="75">
        <v>767452.1</v>
      </c>
      <c r="F22" s="119">
        <v>913268</v>
      </c>
      <c r="G22" s="75" t="s">
        <v>446</v>
      </c>
      <c r="H22" s="120">
        <v>3685.53</v>
      </c>
      <c r="I22" s="74" t="s">
        <v>20</v>
      </c>
      <c r="J22" s="74" t="s">
        <v>54</v>
      </c>
      <c r="K22" s="17" t="s">
        <v>447</v>
      </c>
    </row>
    <row r="23" spans="1:11" ht="15" customHeight="1">
      <c r="A23" s="293" t="s">
        <v>448</v>
      </c>
      <c r="B23" s="290"/>
      <c r="C23" s="290"/>
      <c r="D23" s="290"/>
      <c r="E23" s="290"/>
      <c r="F23" s="290"/>
      <c r="G23" s="290"/>
      <c r="H23" s="290"/>
      <c r="I23" s="290"/>
      <c r="J23" s="290"/>
      <c r="K23" s="291"/>
    </row>
    <row r="24" spans="1:11" ht="47.25" customHeight="1">
      <c r="A24" s="92" t="s">
        <v>6</v>
      </c>
      <c r="B24" s="93" t="s">
        <v>449</v>
      </c>
      <c r="C24" s="93" t="s">
        <v>450</v>
      </c>
      <c r="D24" s="93" t="s">
        <v>451</v>
      </c>
      <c r="E24" s="93" t="s">
        <v>452</v>
      </c>
      <c r="F24" s="94" t="s">
        <v>453</v>
      </c>
      <c r="G24" s="95" t="s">
        <v>454</v>
      </c>
      <c r="H24" s="93" t="s">
        <v>13</v>
      </c>
      <c r="I24" s="93" t="s">
        <v>455</v>
      </c>
      <c r="J24" s="32" t="s">
        <v>15</v>
      </c>
      <c r="K24" s="32" t="s">
        <v>456</v>
      </c>
    </row>
    <row r="25" spans="1:11" ht="47.25" customHeight="1">
      <c r="A25" s="96" t="s">
        <v>17</v>
      </c>
      <c r="B25" s="97" t="s">
        <v>457</v>
      </c>
      <c r="C25" s="114" t="s">
        <v>458</v>
      </c>
      <c r="D25" s="99" t="s">
        <v>459</v>
      </c>
      <c r="E25" s="109">
        <v>0</v>
      </c>
      <c r="F25" s="109">
        <v>0</v>
      </c>
      <c r="G25" s="109">
        <v>0</v>
      </c>
      <c r="H25" s="109">
        <v>3685.53</v>
      </c>
      <c r="I25" s="97" t="s">
        <v>20</v>
      </c>
      <c r="J25" s="74"/>
      <c r="K25" s="103" t="s">
        <v>460</v>
      </c>
    </row>
    <row r="26" spans="1:11" ht="47.25" customHeight="1">
      <c r="A26" s="96" t="s">
        <v>23</v>
      </c>
      <c r="B26" s="97" t="s">
        <v>461</v>
      </c>
      <c r="C26" s="111" t="s">
        <v>462</v>
      </c>
      <c r="D26" s="97" t="s">
        <v>463</v>
      </c>
      <c r="E26" s="109">
        <v>33529.410000000003</v>
      </c>
      <c r="F26" s="109">
        <v>39900</v>
      </c>
      <c r="G26" s="109">
        <v>10.93</v>
      </c>
      <c r="H26" s="109">
        <v>3685.53</v>
      </c>
      <c r="I26" s="97" t="s">
        <v>20</v>
      </c>
      <c r="J26" s="74"/>
      <c r="K26" s="125" t="s">
        <v>464</v>
      </c>
    </row>
    <row r="27" spans="1:11" ht="47.25" customHeight="1">
      <c r="A27" s="96" t="s">
        <v>28</v>
      </c>
      <c r="B27" s="97" t="s">
        <v>465</v>
      </c>
      <c r="C27" s="107" t="s">
        <v>466</v>
      </c>
      <c r="D27" s="97" t="s">
        <v>467</v>
      </c>
      <c r="E27" s="109">
        <v>0</v>
      </c>
      <c r="F27" s="109">
        <v>0</v>
      </c>
      <c r="G27" s="109">
        <v>0</v>
      </c>
      <c r="H27" s="109">
        <v>3685.53</v>
      </c>
      <c r="I27" s="97" t="s">
        <v>20</v>
      </c>
      <c r="J27" s="74"/>
      <c r="K27" s="125" t="s">
        <v>468</v>
      </c>
    </row>
    <row r="28" spans="1:11" ht="12.75" customHeight="1">
      <c r="E28" s="118"/>
    </row>
    <row r="29" spans="1:11" ht="12.75" customHeight="1"/>
    <row r="30" spans="1:11" ht="12.75" customHeight="1"/>
    <row r="31" spans="1:11" ht="12.75" customHeight="1"/>
    <row r="32" spans="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sheetData>
  <mergeCells count="6">
    <mergeCell ref="A18:K18"/>
    <mergeCell ref="A23:K23"/>
    <mergeCell ref="D2:H2"/>
    <mergeCell ref="A5:K5"/>
    <mergeCell ref="A7:K7"/>
    <mergeCell ref="A13:K13"/>
  </mergeCells>
  <hyperlinks>
    <hyperlink ref="C9" r:id="rId1" xr:uid="{00000000-0004-0000-0D00-000000000000}"/>
    <hyperlink ref="C10" r:id="rId2" xr:uid="{00000000-0004-0000-0D00-000001000000}"/>
    <hyperlink ref="C11" r:id="rId3" xr:uid="{00000000-0004-0000-0D00-000002000000}"/>
    <hyperlink ref="C15" r:id="rId4" xr:uid="{00000000-0004-0000-0D00-000003000000}"/>
    <hyperlink ref="C16" r:id="rId5" xr:uid="{00000000-0004-0000-0D00-000004000000}"/>
    <hyperlink ref="C17" r:id="rId6" xr:uid="{00000000-0004-0000-0D00-000005000000}"/>
    <hyperlink ref="C20" r:id="rId7" xr:uid="{00000000-0004-0000-0D00-000006000000}"/>
    <hyperlink ref="C21" r:id="rId8" xr:uid="{00000000-0004-0000-0D00-000007000000}"/>
    <hyperlink ref="C22" r:id="rId9" xr:uid="{00000000-0004-0000-0D00-000008000000}"/>
    <hyperlink ref="C25" r:id="rId10" xr:uid="{00000000-0004-0000-0D00-000009000000}"/>
    <hyperlink ref="C26" r:id="rId11" xr:uid="{00000000-0004-0000-0D00-00000A000000}"/>
    <hyperlink ref="C27" r:id="rId12" xr:uid="{00000000-0004-0000-0D00-00000B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2:N27"/>
  <sheetViews>
    <sheetView topLeftCell="A16" workbookViewId="0">
      <selection activeCell="C5" sqref="C5"/>
    </sheetView>
  </sheetViews>
  <sheetFormatPr baseColWidth="10" defaultColWidth="12.6640625" defaultRowHeight="15" customHeight="1"/>
  <cols>
    <col min="2" max="2" width="20.88671875" bestFit="1" customWidth="1"/>
    <col min="3" max="3" width="15.6640625" customWidth="1"/>
    <col min="5" max="5" width="32.5546875" customWidth="1"/>
    <col min="6" max="6" width="16.6640625" customWidth="1"/>
    <col min="8" max="8" width="24.109375" customWidth="1"/>
  </cols>
  <sheetData>
    <row r="2" spans="2:14" ht="15" customHeight="1">
      <c r="B2" s="276" t="s">
        <v>469</v>
      </c>
      <c r="C2" s="278"/>
      <c r="E2" s="276" t="s">
        <v>470</v>
      </c>
      <c r="F2" s="278"/>
    </row>
    <row r="3" spans="2:14" ht="15" customHeight="1">
      <c r="B3" s="127" t="s">
        <v>471</v>
      </c>
      <c r="C3" s="128">
        <v>1750905</v>
      </c>
      <c r="E3" s="127" t="s">
        <v>472</v>
      </c>
      <c r="F3" s="128" t="s">
        <v>473</v>
      </c>
    </row>
    <row r="4" spans="2:14" ht="15" customHeight="1">
      <c r="B4" s="129" t="s">
        <v>474</v>
      </c>
      <c r="C4" s="130">
        <v>249095</v>
      </c>
      <c r="E4" s="131" t="s">
        <v>475</v>
      </c>
      <c r="F4" s="132" t="s">
        <v>476</v>
      </c>
    </row>
    <row r="5" spans="2:14" ht="15" customHeight="1">
      <c r="B5" s="133" t="s">
        <v>477</v>
      </c>
      <c r="C5" s="134">
        <v>22761765</v>
      </c>
      <c r="E5" s="131" t="s">
        <v>478</v>
      </c>
      <c r="F5" s="135">
        <v>3000000</v>
      </c>
    </row>
    <row r="6" spans="2:14" ht="15" customHeight="1">
      <c r="B6" s="136" t="s">
        <v>479</v>
      </c>
      <c r="C6" s="137">
        <f>SUM(C3:C5)</f>
        <v>24761765</v>
      </c>
      <c r="E6" s="138" t="s">
        <v>480</v>
      </c>
      <c r="F6" s="139">
        <v>7295</v>
      </c>
    </row>
    <row r="7" spans="2:14" ht="15" customHeight="1">
      <c r="B7" s="276" t="s">
        <v>481</v>
      </c>
      <c r="C7" s="278"/>
      <c r="E7" s="138" t="s">
        <v>482</v>
      </c>
      <c r="F7" s="139">
        <v>10213</v>
      </c>
    </row>
    <row r="8" spans="2:14" ht="15" customHeight="1">
      <c r="B8" s="127" t="s">
        <v>483</v>
      </c>
      <c r="C8" s="140">
        <v>0.02</v>
      </c>
      <c r="E8" s="298" t="s">
        <v>484</v>
      </c>
      <c r="F8" s="299"/>
      <c r="K8" s="141"/>
      <c r="L8" s="141"/>
      <c r="M8" s="141"/>
      <c r="N8" s="141"/>
    </row>
    <row r="9" spans="2:14" ht="15" customHeight="1">
      <c r="B9" s="129" t="s">
        <v>485</v>
      </c>
      <c r="C9" s="142">
        <v>0.03</v>
      </c>
      <c r="E9" s="143" t="s">
        <v>486</v>
      </c>
      <c r="F9" s="144">
        <v>9119</v>
      </c>
      <c r="K9" s="145"/>
      <c r="L9" s="141"/>
      <c r="M9" s="145"/>
      <c r="N9" s="146"/>
    </row>
    <row r="10" spans="2:14" ht="15" customHeight="1">
      <c r="B10" s="147" t="s">
        <v>487</v>
      </c>
      <c r="C10" s="148">
        <v>0.04</v>
      </c>
      <c r="E10" s="129" t="s">
        <v>488</v>
      </c>
      <c r="F10" s="149">
        <v>9848</v>
      </c>
      <c r="K10" s="145"/>
      <c r="L10" s="141"/>
      <c r="M10" s="146"/>
      <c r="N10" s="146"/>
    </row>
    <row r="11" spans="2:14" ht="15" customHeight="1">
      <c r="B11" s="150" t="s">
        <v>479</v>
      </c>
      <c r="C11" s="151">
        <f>SUM(C8:C10)</f>
        <v>0.09</v>
      </c>
      <c r="E11" s="131" t="s">
        <v>489</v>
      </c>
      <c r="F11" s="149">
        <v>12766</v>
      </c>
      <c r="K11" s="145"/>
      <c r="L11" s="141"/>
      <c r="M11" s="146"/>
      <c r="N11" s="146"/>
    </row>
    <row r="12" spans="2:14" ht="15" customHeight="1">
      <c r="B12" s="276" t="s">
        <v>490</v>
      </c>
      <c r="C12" s="278"/>
      <c r="E12" s="152" t="s">
        <v>491</v>
      </c>
      <c r="F12" s="153">
        <v>12766</v>
      </c>
      <c r="K12" s="145"/>
      <c r="L12" s="141"/>
      <c r="M12" s="146"/>
      <c r="N12" s="146"/>
    </row>
    <row r="13" spans="2:14" ht="15" customHeight="1">
      <c r="B13" s="127" t="s">
        <v>492</v>
      </c>
      <c r="C13" s="154">
        <v>8.3299999999999999E-2</v>
      </c>
      <c r="E13" s="143" t="s">
        <v>493</v>
      </c>
      <c r="F13" s="144">
        <v>12766</v>
      </c>
      <c r="K13" s="145"/>
      <c r="L13" s="141"/>
      <c r="M13" s="146"/>
      <c r="N13" s="146"/>
    </row>
    <row r="14" spans="2:14" ht="15" customHeight="1">
      <c r="B14" s="129" t="s">
        <v>494</v>
      </c>
      <c r="C14" s="155">
        <v>0.01</v>
      </c>
      <c r="E14" s="129" t="s">
        <v>495</v>
      </c>
      <c r="F14" s="149">
        <v>13787</v>
      </c>
      <c r="K14" s="145"/>
      <c r="L14" s="141"/>
      <c r="M14" s="146"/>
      <c r="N14" s="146"/>
    </row>
    <row r="15" spans="2:14" ht="15" customHeight="1">
      <c r="B15" s="129" t="s">
        <v>496</v>
      </c>
      <c r="C15" s="155">
        <v>8.3299999999999999E-2</v>
      </c>
      <c r="E15" s="147" t="s">
        <v>497</v>
      </c>
      <c r="F15" s="149">
        <v>17872</v>
      </c>
    </row>
    <row r="16" spans="2:14" ht="15" customHeight="1">
      <c r="B16" s="147" t="s">
        <v>498</v>
      </c>
      <c r="C16" s="156">
        <v>4.1700000000000001E-2</v>
      </c>
      <c r="E16" s="147" t="s">
        <v>499</v>
      </c>
      <c r="F16" s="149">
        <v>17872</v>
      </c>
    </row>
    <row r="17" spans="2:8" ht="15" customHeight="1">
      <c r="B17" s="150" t="s">
        <v>479</v>
      </c>
      <c r="C17" s="157">
        <f>SUM(C13:C16)</f>
        <v>0.21829999999999999</v>
      </c>
      <c r="E17" s="300" t="s">
        <v>500</v>
      </c>
      <c r="F17" s="301"/>
    </row>
    <row r="18" spans="2:8" ht="15" customHeight="1">
      <c r="B18" s="276" t="s">
        <v>501</v>
      </c>
      <c r="C18" s="278"/>
      <c r="E18" s="138" t="s">
        <v>502</v>
      </c>
      <c r="F18" s="158">
        <v>200000</v>
      </c>
    </row>
    <row r="19" spans="2:8" ht="15" customHeight="1">
      <c r="B19" s="297" t="s">
        <v>503</v>
      </c>
      <c r="C19" s="278"/>
    </row>
    <row r="20" spans="2:8" ht="15" customHeight="1">
      <c r="B20" s="127" t="s">
        <v>504</v>
      </c>
      <c r="C20" s="154">
        <v>8.5000000000000006E-2</v>
      </c>
      <c r="E20" s="276" t="s">
        <v>505</v>
      </c>
      <c r="F20" s="277"/>
      <c r="G20" s="277"/>
      <c r="H20" s="278"/>
    </row>
    <row r="21" spans="2:8" ht="15" customHeight="1">
      <c r="B21" s="133" t="s">
        <v>506</v>
      </c>
      <c r="C21" s="159">
        <v>0.04</v>
      </c>
      <c r="E21" s="160" t="s">
        <v>507</v>
      </c>
      <c r="F21" s="160" t="s">
        <v>508</v>
      </c>
      <c r="G21" s="160" t="s">
        <v>509</v>
      </c>
      <c r="H21" s="160" t="s">
        <v>510</v>
      </c>
    </row>
    <row r="22" spans="2:8" ht="15" customHeight="1">
      <c r="B22" s="297" t="s">
        <v>511</v>
      </c>
      <c r="C22" s="278"/>
      <c r="E22" s="161" t="s">
        <v>512</v>
      </c>
      <c r="F22" s="128">
        <v>57973</v>
      </c>
      <c r="G22" s="162">
        <f t="shared" ref="G22:G26" si="0">F22</f>
        <v>57973</v>
      </c>
      <c r="H22" s="162">
        <f t="shared" ref="H22:H26" si="1">G22*12</f>
        <v>695676</v>
      </c>
    </row>
    <row r="23" spans="2:8" ht="15" customHeight="1">
      <c r="B23" s="127" t="s">
        <v>504</v>
      </c>
      <c r="C23" s="154">
        <v>0.12</v>
      </c>
      <c r="E23" s="237" t="s">
        <v>572</v>
      </c>
      <c r="F23" s="100">
        <v>176900.84</v>
      </c>
      <c r="G23" s="163">
        <f t="shared" si="0"/>
        <v>176900.84</v>
      </c>
      <c r="H23" s="163">
        <f t="shared" si="1"/>
        <v>2122810.08</v>
      </c>
    </row>
    <row r="24" spans="2:8" ht="15" customHeight="1">
      <c r="B24" s="129" t="s">
        <v>506</v>
      </c>
      <c r="C24" s="155">
        <v>0.04</v>
      </c>
      <c r="E24" s="164" t="s">
        <v>513</v>
      </c>
      <c r="F24" s="130">
        <v>179000</v>
      </c>
      <c r="G24" s="163">
        <f t="shared" si="0"/>
        <v>179000</v>
      </c>
      <c r="H24" s="163">
        <f t="shared" si="1"/>
        <v>2148000</v>
      </c>
    </row>
    <row r="25" spans="2:8" ht="15" customHeight="1">
      <c r="B25" s="165" t="s">
        <v>514</v>
      </c>
      <c r="C25" s="166">
        <f t="shared" ref="C25:C26" si="2">SUM(C20+C23)</f>
        <v>0.20500000000000002</v>
      </c>
      <c r="E25" s="243" t="s">
        <v>579</v>
      </c>
      <c r="F25" s="130">
        <v>124167</v>
      </c>
      <c r="G25" s="163">
        <f t="shared" si="0"/>
        <v>124167</v>
      </c>
      <c r="H25" s="163">
        <f t="shared" si="1"/>
        <v>1490004</v>
      </c>
    </row>
    <row r="26" spans="2:8" ht="15" customHeight="1" thickBot="1">
      <c r="B26" s="167" t="s">
        <v>515</v>
      </c>
      <c r="C26" s="168">
        <f t="shared" si="2"/>
        <v>0.08</v>
      </c>
      <c r="E26" s="169"/>
      <c r="F26" s="170"/>
      <c r="G26" s="171">
        <f t="shared" si="0"/>
        <v>0</v>
      </c>
      <c r="H26" s="163">
        <f t="shared" si="1"/>
        <v>0</v>
      </c>
    </row>
    <row r="27" spans="2:8" ht="15" customHeight="1">
      <c r="B27" s="172" t="s">
        <v>516</v>
      </c>
      <c r="C27" s="173">
        <f>SUM(C11+C17+C25)</f>
        <v>0.51330000000000009</v>
      </c>
      <c r="E27" s="172" t="s">
        <v>479</v>
      </c>
      <c r="F27" s="174">
        <f t="shared" ref="F27:H27" si="3">SUM(F22:F26)</f>
        <v>538040.84</v>
      </c>
      <c r="G27" s="174">
        <f t="shared" si="3"/>
        <v>538040.84</v>
      </c>
      <c r="H27" s="174">
        <f t="shared" si="3"/>
        <v>6456490.0800000001</v>
      </c>
    </row>
  </sheetData>
  <mergeCells count="10">
    <mergeCell ref="B19:C19"/>
    <mergeCell ref="E20:H20"/>
    <mergeCell ref="B22:C22"/>
    <mergeCell ref="B2:C2"/>
    <mergeCell ref="E2:F2"/>
    <mergeCell ref="B7:C7"/>
    <mergeCell ref="E8:F8"/>
    <mergeCell ref="B12:C12"/>
    <mergeCell ref="E17:F17"/>
    <mergeCell ref="B18:C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I36"/>
  <sheetViews>
    <sheetView topLeftCell="C1" workbookViewId="0">
      <selection activeCell="I6" sqref="I6"/>
    </sheetView>
  </sheetViews>
  <sheetFormatPr baseColWidth="10" defaultColWidth="12.6640625" defaultRowHeight="15" customHeight="1"/>
  <cols>
    <col min="2" max="2" width="35.5546875" customWidth="1"/>
    <col min="3" max="3" width="32.77734375" customWidth="1"/>
    <col min="4" max="6" width="24" customWidth="1"/>
    <col min="8" max="9" width="18.109375" customWidth="1"/>
  </cols>
  <sheetData>
    <row r="2" spans="2:9" ht="15" customHeight="1" thickBot="1">
      <c r="B2" s="276" t="s">
        <v>517</v>
      </c>
      <c r="C2" s="277"/>
      <c r="D2" s="277"/>
      <c r="E2" s="277"/>
      <c r="F2" s="278"/>
      <c r="G2" s="175"/>
      <c r="H2" s="302" t="s">
        <v>518</v>
      </c>
      <c r="I2" s="303"/>
    </row>
    <row r="3" spans="2:9" ht="15" customHeight="1" thickBot="1">
      <c r="B3" s="160" t="s">
        <v>519</v>
      </c>
      <c r="C3" s="177" t="s">
        <v>520</v>
      </c>
      <c r="D3" s="160" t="s">
        <v>521</v>
      </c>
      <c r="E3" s="177" t="s">
        <v>522</v>
      </c>
      <c r="F3" s="177" t="s">
        <v>479</v>
      </c>
      <c r="G3" s="175"/>
      <c r="H3" s="178" t="s">
        <v>517</v>
      </c>
      <c r="I3" s="162">
        <f>F8</f>
        <v>12200000</v>
      </c>
    </row>
    <row r="4" spans="2:9" ht="15" customHeight="1" thickBot="1">
      <c r="B4" s="241" t="s">
        <v>573</v>
      </c>
      <c r="C4" s="239" t="s">
        <v>574</v>
      </c>
      <c r="D4" s="179">
        <v>3</v>
      </c>
      <c r="E4" s="242">
        <v>2500000</v>
      </c>
      <c r="F4" s="180">
        <f t="shared" ref="F4:F7" si="0">D4*E4</f>
        <v>7500000</v>
      </c>
      <c r="G4" s="175"/>
      <c r="H4" s="181" t="s">
        <v>523</v>
      </c>
      <c r="I4" s="163">
        <f>F22</f>
        <v>1262400</v>
      </c>
    </row>
    <row r="5" spans="2:9" ht="15" customHeight="1" thickBot="1">
      <c r="B5" s="241" t="s">
        <v>575</v>
      </c>
      <c r="C5" s="239" t="s">
        <v>574</v>
      </c>
      <c r="D5" s="183">
        <v>2</v>
      </c>
      <c r="E5" s="184">
        <v>700000</v>
      </c>
      <c r="F5" s="185">
        <f t="shared" si="0"/>
        <v>1400000</v>
      </c>
      <c r="G5" s="175"/>
      <c r="H5" s="186" t="s">
        <v>524</v>
      </c>
      <c r="I5" s="187">
        <f>F36</f>
        <v>9827670</v>
      </c>
    </row>
    <row r="6" spans="2:9" ht="15" customHeight="1" thickBot="1">
      <c r="B6" s="241" t="s">
        <v>576</v>
      </c>
      <c r="C6" s="239" t="s">
        <v>574</v>
      </c>
      <c r="D6" s="189">
        <v>5</v>
      </c>
      <c r="E6" s="190">
        <v>300000</v>
      </c>
      <c r="F6" s="185">
        <f t="shared" si="0"/>
        <v>1500000</v>
      </c>
      <c r="G6" s="175"/>
      <c r="H6" s="191" t="s">
        <v>479</v>
      </c>
      <c r="I6" s="192">
        <f>SUM(I3:I5)</f>
        <v>23290070</v>
      </c>
    </row>
    <row r="7" spans="2:9" ht="15" customHeight="1" thickBot="1">
      <c r="B7" s="241" t="s">
        <v>578</v>
      </c>
      <c r="C7" s="239" t="s">
        <v>574</v>
      </c>
      <c r="D7" s="193">
        <v>2</v>
      </c>
      <c r="E7" s="194">
        <v>900000</v>
      </c>
      <c r="F7" s="185">
        <f t="shared" si="0"/>
        <v>1800000</v>
      </c>
      <c r="G7" s="175"/>
      <c r="H7" s="175"/>
      <c r="I7" s="175"/>
    </row>
    <row r="8" spans="2:9" ht="15" customHeight="1" thickBot="1">
      <c r="B8" s="240" t="s">
        <v>479</v>
      </c>
      <c r="C8" s="195"/>
      <c r="D8" s="196"/>
      <c r="E8" s="195"/>
      <c r="F8" s="174">
        <f>SUM(F4:F7)</f>
        <v>12200000</v>
      </c>
      <c r="G8" s="175"/>
      <c r="H8" s="175"/>
      <c r="I8" s="175"/>
    </row>
    <row r="9" spans="2:9" ht="15" customHeight="1">
      <c r="B9" s="175"/>
      <c r="C9" s="175"/>
      <c r="D9" s="175"/>
      <c r="E9" s="175"/>
      <c r="F9" s="175"/>
      <c r="G9" s="175"/>
      <c r="H9" s="175"/>
      <c r="I9" s="175"/>
    </row>
    <row r="10" spans="2:9" ht="15" customHeight="1">
      <c r="B10" s="175"/>
      <c r="C10" s="175"/>
      <c r="D10" s="175"/>
      <c r="E10" s="175"/>
      <c r="F10" s="175"/>
      <c r="G10" s="175"/>
      <c r="H10" s="175"/>
      <c r="I10" s="175"/>
    </row>
    <row r="11" spans="2:9" ht="15" customHeight="1">
      <c r="B11" s="276" t="s">
        <v>523</v>
      </c>
      <c r="C11" s="277"/>
      <c r="D11" s="277"/>
      <c r="E11" s="277"/>
      <c r="F11" s="278"/>
      <c r="G11" s="175"/>
      <c r="H11" s="175"/>
      <c r="I11" s="175"/>
    </row>
    <row r="12" spans="2:9" ht="15" customHeight="1">
      <c r="B12" s="177" t="s">
        <v>519</v>
      </c>
      <c r="C12" s="177" t="s">
        <v>520</v>
      </c>
      <c r="D12" s="160" t="s">
        <v>521</v>
      </c>
      <c r="E12" s="177" t="s">
        <v>522</v>
      </c>
      <c r="F12" s="177" t="s">
        <v>479</v>
      </c>
      <c r="G12" s="175"/>
      <c r="H12" s="175"/>
      <c r="I12" s="175"/>
    </row>
    <row r="13" spans="2:9" ht="15" customHeight="1">
      <c r="B13" s="161" t="s">
        <v>525</v>
      </c>
      <c r="C13" s="197" t="s">
        <v>526</v>
      </c>
      <c r="D13" s="198">
        <v>3</v>
      </c>
      <c r="E13" s="199">
        <v>249900</v>
      </c>
      <c r="F13" s="200">
        <f t="shared" ref="F13:F18" si="1">D13*E13</f>
        <v>749700</v>
      </c>
      <c r="G13" s="175"/>
      <c r="H13" s="175"/>
      <c r="I13" s="175"/>
    </row>
    <row r="14" spans="2:9" ht="15" customHeight="1">
      <c r="B14" s="201" t="s">
        <v>527</v>
      </c>
      <c r="C14" s="202" t="s">
        <v>526</v>
      </c>
      <c r="D14" s="203">
        <v>3</v>
      </c>
      <c r="E14" s="204">
        <v>149900</v>
      </c>
      <c r="F14" s="200">
        <f t="shared" si="1"/>
        <v>449700</v>
      </c>
      <c r="G14" s="175"/>
      <c r="H14" s="175"/>
      <c r="I14" s="175"/>
    </row>
    <row r="15" spans="2:9" ht="15" customHeight="1">
      <c r="B15" s="201" t="s">
        <v>528</v>
      </c>
      <c r="C15" s="202" t="s">
        <v>526</v>
      </c>
      <c r="D15" s="205">
        <v>3</v>
      </c>
      <c r="E15" s="206">
        <v>21000</v>
      </c>
      <c r="F15" s="200">
        <f t="shared" si="1"/>
        <v>63000</v>
      </c>
      <c r="G15" s="175"/>
      <c r="H15" s="175"/>
      <c r="I15" s="175"/>
    </row>
    <row r="16" spans="2:9" ht="15" customHeight="1">
      <c r="B16" s="201"/>
      <c r="C16" s="202"/>
      <c r="D16" s="205"/>
      <c r="E16" s="206"/>
      <c r="F16" s="200">
        <f t="shared" si="1"/>
        <v>0</v>
      </c>
      <c r="G16" s="175"/>
      <c r="H16" s="175"/>
      <c r="I16" s="175"/>
    </row>
    <row r="17" spans="2:9" ht="15" customHeight="1">
      <c r="B17" s="201"/>
      <c r="C17" s="207"/>
      <c r="D17" s="208"/>
      <c r="E17" s="206"/>
      <c r="F17" s="200">
        <f t="shared" si="1"/>
        <v>0</v>
      </c>
      <c r="G17" s="175"/>
      <c r="H17" s="175"/>
      <c r="I17" s="175"/>
    </row>
    <row r="18" spans="2:9" ht="15" customHeight="1">
      <c r="B18" s="201"/>
      <c r="C18" s="207"/>
      <c r="D18" s="208"/>
      <c r="E18" s="206"/>
      <c r="F18" s="200">
        <f t="shared" si="1"/>
        <v>0</v>
      </c>
      <c r="G18" s="175"/>
      <c r="H18" s="175"/>
      <c r="I18" s="175"/>
    </row>
    <row r="19" spans="2:9" ht="15" customHeight="1">
      <c r="B19" s="164"/>
      <c r="C19" s="182"/>
      <c r="D19" s="183"/>
      <c r="E19" s="209"/>
      <c r="F19" s="185">
        <f t="shared" ref="F19:F21" si="2">(D19*E19)</f>
        <v>0</v>
      </c>
      <c r="G19" s="175"/>
      <c r="H19" s="175"/>
      <c r="I19" s="175"/>
    </row>
    <row r="20" spans="2:9" ht="15" customHeight="1">
      <c r="B20" s="169"/>
      <c r="C20" s="188"/>
      <c r="D20" s="189"/>
      <c r="E20" s="194"/>
      <c r="F20" s="185">
        <f t="shared" si="2"/>
        <v>0</v>
      </c>
      <c r="G20" s="175"/>
      <c r="H20" s="175"/>
      <c r="I20" s="175"/>
    </row>
    <row r="21" spans="2:9" ht="15" customHeight="1">
      <c r="B21" s="169"/>
      <c r="C21" s="188"/>
      <c r="D21" s="193"/>
      <c r="E21" s="194"/>
      <c r="F21" s="185">
        <f t="shared" si="2"/>
        <v>0</v>
      </c>
      <c r="G21" s="175"/>
      <c r="H21" s="175"/>
      <c r="I21" s="175"/>
    </row>
    <row r="22" spans="2:9" ht="15" customHeight="1">
      <c r="B22" s="172" t="s">
        <v>479</v>
      </c>
      <c r="C22" s="195"/>
      <c r="D22" s="196"/>
      <c r="E22" s="195"/>
      <c r="F22" s="174">
        <f>SUM(F13:F21)</f>
        <v>1262400</v>
      </c>
      <c r="G22" s="175"/>
      <c r="H22" s="175"/>
      <c r="I22" s="175"/>
    </row>
    <row r="23" spans="2:9" ht="15" customHeight="1">
      <c r="B23" s="175"/>
      <c r="C23" s="175"/>
      <c r="D23" s="175"/>
      <c r="E23" s="175"/>
      <c r="F23" s="175"/>
      <c r="G23" s="175"/>
      <c r="H23" s="175"/>
      <c r="I23" s="175"/>
    </row>
    <row r="24" spans="2:9" ht="15" customHeight="1">
      <c r="B24" s="175"/>
      <c r="C24" s="175"/>
      <c r="D24" s="175"/>
      <c r="E24" s="175"/>
      <c r="F24" s="175"/>
      <c r="G24" s="175"/>
      <c r="H24" s="175"/>
      <c r="I24" s="175"/>
    </row>
    <row r="25" spans="2:9" ht="15" customHeight="1" thickBot="1">
      <c r="B25" s="304" t="s">
        <v>577</v>
      </c>
      <c r="C25" s="277"/>
      <c r="D25" s="277"/>
      <c r="E25" s="277"/>
      <c r="F25" s="278"/>
      <c r="G25" s="175"/>
      <c r="H25" s="175"/>
      <c r="I25" s="175"/>
    </row>
    <row r="26" spans="2:9" ht="15" customHeight="1" thickBot="1">
      <c r="B26" s="160" t="s">
        <v>519</v>
      </c>
      <c r="C26" s="177" t="s">
        <v>520</v>
      </c>
      <c r="D26" s="160" t="s">
        <v>521</v>
      </c>
      <c r="E26" s="177" t="s">
        <v>522</v>
      </c>
      <c r="F26" s="177" t="s">
        <v>479</v>
      </c>
      <c r="G26" s="175"/>
      <c r="H26" s="175"/>
      <c r="I26" s="175"/>
    </row>
    <row r="27" spans="2:9" ht="15" customHeight="1">
      <c r="B27" s="248" t="s">
        <v>18</v>
      </c>
      <c r="C27" s="244" t="s">
        <v>526</v>
      </c>
      <c r="D27" s="198">
        <v>2</v>
      </c>
      <c r="E27" s="199">
        <v>1684400</v>
      </c>
      <c r="F27" s="180">
        <f t="shared" ref="F27:F32" si="3">D27*E27</f>
        <v>3368800</v>
      </c>
      <c r="G27" s="175"/>
      <c r="H27" s="175"/>
      <c r="I27" s="175"/>
    </row>
    <row r="28" spans="2:9" ht="14.4">
      <c r="B28" s="249" t="s">
        <v>130</v>
      </c>
      <c r="C28" s="210" t="s">
        <v>526</v>
      </c>
      <c r="D28" s="203">
        <v>2</v>
      </c>
      <c r="E28" s="204">
        <v>1979900</v>
      </c>
      <c r="F28" s="200">
        <f t="shared" si="3"/>
        <v>3959800</v>
      </c>
      <c r="G28" s="175"/>
      <c r="H28" s="175"/>
      <c r="I28" s="175"/>
    </row>
    <row r="29" spans="2:9" ht="52.8">
      <c r="B29" s="273" t="s">
        <v>565</v>
      </c>
      <c r="C29" s="274" t="s">
        <v>526</v>
      </c>
      <c r="D29" s="205">
        <v>1</v>
      </c>
      <c r="E29" s="18">
        <v>2499070</v>
      </c>
      <c r="F29" s="275">
        <f t="shared" si="3"/>
        <v>2499070</v>
      </c>
      <c r="G29" s="175"/>
      <c r="H29" s="175"/>
      <c r="I29" s="175"/>
    </row>
    <row r="30" spans="2:9" ht="14.4">
      <c r="B30" s="251"/>
      <c r="C30" s="245"/>
      <c r="D30" s="208"/>
      <c r="E30" s="206"/>
      <c r="F30" s="200">
        <f t="shared" si="3"/>
        <v>0</v>
      </c>
      <c r="G30" s="175"/>
      <c r="H30" s="175"/>
      <c r="I30" s="175"/>
    </row>
    <row r="31" spans="2:9" ht="14.4">
      <c r="B31" s="250"/>
      <c r="C31" s="245"/>
      <c r="D31" s="208"/>
      <c r="E31" s="206"/>
      <c r="F31" s="200">
        <f t="shared" si="3"/>
        <v>0</v>
      </c>
      <c r="G31" s="175"/>
      <c r="H31" s="175"/>
      <c r="I31" s="175"/>
    </row>
    <row r="32" spans="2:9" ht="14.4">
      <c r="B32" s="250"/>
      <c r="C32" s="245"/>
      <c r="D32" s="208"/>
      <c r="E32" s="206"/>
      <c r="F32" s="200">
        <f t="shared" si="3"/>
        <v>0</v>
      </c>
      <c r="G32" s="175"/>
      <c r="H32" s="175"/>
      <c r="I32" s="175"/>
    </row>
    <row r="33" spans="2:9" ht="14.4">
      <c r="B33" s="250"/>
      <c r="C33" s="246"/>
      <c r="D33" s="183"/>
      <c r="E33" s="209"/>
      <c r="F33" s="185">
        <f t="shared" ref="F33:F35" si="4">(D33*E33)</f>
        <v>0</v>
      </c>
      <c r="G33" s="175"/>
      <c r="H33" s="175"/>
      <c r="I33" s="175"/>
    </row>
    <row r="34" spans="2:9" ht="14.4">
      <c r="B34" s="250"/>
      <c r="C34" s="247"/>
      <c r="D34" s="189"/>
      <c r="E34" s="194"/>
      <c r="F34" s="185">
        <f t="shared" si="4"/>
        <v>0</v>
      </c>
      <c r="G34" s="175"/>
      <c r="H34" s="175"/>
      <c r="I34" s="175"/>
    </row>
    <row r="35" spans="2:9" thickBot="1">
      <c r="B35" s="250"/>
      <c r="C35" s="247"/>
      <c r="D35" s="193"/>
      <c r="E35" s="194"/>
      <c r="F35" s="185">
        <f t="shared" si="4"/>
        <v>0</v>
      </c>
      <c r="G35" s="175"/>
      <c r="H35" s="175"/>
      <c r="I35" s="175"/>
    </row>
    <row r="36" spans="2:9" thickBot="1">
      <c r="B36" s="240" t="s">
        <v>479</v>
      </c>
      <c r="C36" s="195"/>
      <c r="D36" s="196"/>
      <c r="E36" s="195"/>
      <c r="F36" s="174">
        <f>SUM(F27:F35)</f>
        <v>9827670</v>
      </c>
      <c r="G36" s="175"/>
    </row>
  </sheetData>
  <mergeCells count="4">
    <mergeCell ref="B2:F2"/>
    <mergeCell ref="H2:I2"/>
    <mergeCell ref="B11:F11"/>
    <mergeCell ref="B25:F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2:L17"/>
  <sheetViews>
    <sheetView workbookViewId="0">
      <selection activeCell="I16" sqref="I16"/>
    </sheetView>
  </sheetViews>
  <sheetFormatPr baseColWidth="10" defaultColWidth="12.6640625" defaultRowHeight="15" customHeight="1"/>
  <cols>
    <col min="2" max="2" width="18.109375" customWidth="1"/>
    <col min="3" max="3" width="21.77734375" bestFit="1" customWidth="1"/>
    <col min="4" max="10" width="17.33203125" customWidth="1"/>
    <col min="11" max="11" width="20" customWidth="1"/>
    <col min="12" max="12" width="17.33203125" customWidth="1"/>
  </cols>
  <sheetData>
    <row r="2" spans="2:12" ht="15" customHeight="1">
      <c r="B2" s="276" t="s">
        <v>529</v>
      </c>
      <c r="C2" s="277"/>
      <c r="D2" s="278"/>
      <c r="E2" s="276" t="s">
        <v>503</v>
      </c>
      <c r="F2" s="277"/>
      <c r="G2" s="278"/>
      <c r="H2" s="276" t="s">
        <v>511</v>
      </c>
      <c r="I2" s="277"/>
      <c r="J2" s="277"/>
      <c r="K2" s="126" t="s">
        <v>530</v>
      </c>
      <c r="L2" s="211" t="s">
        <v>531</v>
      </c>
    </row>
    <row r="3" spans="2:12" ht="15" customHeight="1">
      <c r="B3" s="160" t="s">
        <v>532</v>
      </c>
      <c r="C3" s="160" t="s">
        <v>533</v>
      </c>
      <c r="D3" s="160" t="s">
        <v>534</v>
      </c>
      <c r="E3" s="160" t="s">
        <v>506</v>
      </c>
      <c r="F3" s="160" t="s">
        <v>504</v>
      </c>
      <c r="G3" s="160" t="s">
        <v>479</v>
      </c>
      <c r="H3" s="160" t="s">
        <v>506</v>
      </c>
      <c r="I3" s="160" t="s">
        <v>504</v>
      </c>
      <c r="J3" s="160" t="s">
        <v>479</v>
      </c>
      <c r="K3" s="176" t="s">
        <v>506</v>
      </c>
      <c r="L3" s="211" t="s">
        <v>479</v>
      </c>
    </row>
    <row r="4" spans="2:12" ht="15" customHeight="1">
      <c r="B4" s="161" t="s">
        <v>535</v>
      </c>
      <c r="C4" s="212">
        <v>1750905</v>
      </c>
      <c r="D4" s="213">
        <v>30</v>
      </c>
      <c r="E4" s="214">
        <f>C4*ParaFiscales!$C$21</f>
        <v>70036.2</v>
      </c>
      <c r="F4" s="215">
        <f>C4*ParaFiscales!$C$20</f>
        <v>148826.92500000002</v>
      </c>
      <c r="G4" s="215">
        <f t="shared" ref="G4:G10" si="0">SUM(E4:F4)</f>
        <v>218863.125</v>
      </c>
      <c r="H4" s="215">
        <f>C4*ParaFiscales!$C$24</f>
        <v>70036.2</v>
      </c>
      <c r="I4" s="215">
        <f>C4*ParaFiscales!$C$23</f>
        <v>210108.6</v>
      </c>
      <c r="J4" s="215">
        <f t="shared" ref="J4:J10" si="1">SUM(H4:I4)</f>
        <v>280144.8</v>
      </c>
      <c r="K4" s="212">
        <v>249095</v>
      </c>
      <c r="L4" s="216">
        <f t="shared" ref="L4:L10" si="2">(C4-E4-H4+K4)</f>
        <v>1859927.6</v>
      </c>
    </row>
    <row r="5" spans="2:12" ht="15" customHeight="1">
      <c r="B5" s="161" t="s">
        <v>535</v>
      </c>
      <c r="C5" s="212">
        <v>1750905</v>
      </c>
      <c r="D5" s="217">
        <v>30</v>
      </c>
      <c r="E5" s="214">
        <f>C5*ParaFiscales!$C$21</f>
        <v>70036.2</v>
      </c>
      <c r="F5" s="215">
        <f>C5*ParaFiscales!$C$20</f>
        <v>148826.92500000002</v>
      </c>
      <c r="G5" s="218">
        <f t="shared" si="0"/>
        <v>218863.125</v>
      </c>
      <c r="H5" s="215">
        <f>C5*ParaFiscales!$C$24</f>
        <v>70036.2</v>
      </c>
      <c r="I5" s="215">
        <f>C5*ParaFiscales!$C$23</f>
        <v>210108.6</v>
      </c>
      <c r="J5" s="218">
        <f t="shared" si="1"/>
        <v>280144.8</v>
      </c>
      <c r="K5" s="212">
        <v>249095</v>
      </c>
      <c r="L5" s="216">
        <f t="shared" si="2"/>
        <v>1859927.6</v>
      </c>
    </row>
    <row r="6" spans="2:12" ht="15" customHeight="1" thickBot="1">
      <c r="B6" s="161" t="s">
        <v>535</v>
      </c>
      <c r="C6" s="212">
        <v>1750905</v>
      </c>
      <c r="D6" s="217">
        <v>30</v>
      </c>
      <c r="E6" s="214">
        <f>C6*ParaFiscales!$C$21</f>
        <v>70036.2</v>
      </c>
      <c r="F6" s="215">
        <f>C6*ParaFiscales!$C$20</f>
        <v>148826.92500000002</v>
      </c>
      <c r="G6" s="218">
        <f t="shared" si="0"/>
        <v>218863.125</v>
      </c>
      <c r="H6" s="215">
        <f>C6*ParaFiscales!$C$24</f>
        <v>70036.2</v>
      </c>
      <c r="I6" s="215">
        <f>C6*ParaFiscales!$C$23</f>
        <v>210108.6</v>
      </c>
      <c r="J6" s="218">
        <f t="shared" si="1"/>
        <v>280144.8</v>
      </c>
      <c r="K6" s="212">
        <v>249095</v>
      </c>
      <c r="L6" s="216">
        <f t="shared" si="2"/>
        <v>1859927.6</v>
      </c>
    </row>
    <row r="7" spans="2:12" ht="15" customHeight="1">
      <c r="B7" s="238" t="s">
        <v>535</v>
      </c>
      <c r="C7" s="212">
        <v>1750905</v>
      </c>
      <c r="D7" s="217">
        <v>30</v>
      </c>
      <c r="E7" s="214">
        <f>C7*ParaFiscales!$C$21</f>
        <v>70036.2</v>
      </c>
      <c r="F7" s="215">
        <f>C7*ParaFiscales!$C$20</f>
        <v>148826.92500000002</v>
      </c>
      <c r="G7" s="218">
        <f t="shared" si="0"/>
        <v>218863.125</v>
      </c>
      <c r="H7" s="215">
        <f>C7*ParaFiscales!$C$24</f>
        <v>70036.2</v>
      </c>
      <c r="I7" s="215">
        <f>C7*ParaFiscales!$C$23</f>
        <v>210108.6</v>
      </c>
      <c r="J7" s="218">
        <f t="shared" si="1"/>
        <v>280144.8</v>
      </c>
      <c r="K7" s="212">
        <v>249095</v>
      </c>
      <c r="L7" s="216">
        <f t="shared" si="2"/>
        <v>1859927.6</v>
      </c>
    </row>
    <row r="8" spans="2:12" ht="15" customHeight="1">
      <c r="B8" s="164" t="s">
        <v>535</v>
      </c>
      <c r="C8" s="219">
        <v>1750905</v>
      </c>
      <c r="D8" s="183">
        <v>30</v>
      </c>
      <c r="E8" s="220">
        <v>70036.2</v>
      </c>
      <c r="F8" s="218">
        <v>148826.92500000002</v>
      </c>
      <c r="G8" s="218">
        <v>218863.125</v>
      </c>
      <c r="H8" s="218">
        <v>70036.2</v>
      </c>
      <c r="I8" s="218">
        <v>210108.6</v>
      </c>
      <c r="J8" s="218">
        <v>280144.8</v>
      </c>
      <c r="K8" s="219">
        <v>249095</v>
      </c>
      <c r="L8" s="216">
        <v>1859927.6</v>
      </c>
    </row>
    <row r="9" spans="2:12" ht="15" customHeight="1">
      <c r="B9" s="164"/>
      <c r="C9" s="219"/>
      <c r="D9" s="221"/>
      <c r="E9" s="220">
        <f>C9*ParaFiscales!$C$22</f>
        <v>0</v>
      </c>
      <c r="F9" s="218">
        <f>C9*ParaFiscales!$C$21</f>
        <v>0</v>
      </c>
      <c r="G9" s="218">
        <f t="shared" si="0"/>
        <v>0</v>
      </c>
      <c r="H9" s="218">
        <f>C9*ParaFiscales!$C$25</f>
        <v>0</v>
      </c>
      <c r="I9" s="218">
        <f>C9*ParaFiscales!$C$24</f>
        <v>0</v>
      </c>
      <c r="J9" s="218">
        <f t="shared" si="1"/>
        <v>0</v>
      </c>
      <c r="K9" s="219"/>
      <c r="L9" s="216">
        <f t="shared" si="2"/>
        <v>0</v>
      </c>
    </row>
    <row r="10" spans="2:12" ht="15" customHeight="1">
      <c r="B10" s="169"/>
      <c r="C10" s="222"/>
      <c r="D10" s="170"/>
      <c r="E10" s="220">
        <f>C10*ParaFiscales!$C$22</f>
        <v>0</v>
      </c>
      <c r="F10" s="218">
        <f>C10*ParaFiscales!$C$21</f>
        <v>0</v>
      </c>
      <c r="G10" s="218">
        <f t="shared" si="0"/>
        <v>0</v>
      </c>
      <c r="H10" s="218">
        <f>C10*ParaFiscales!$C$25</f>
        <v>0</v>
      </c>
      <c r="I10" s="218">
        <f>C10*ParaFiscales!$C$24</f>
        <v>0</v>
      </c>
      <c r="J10" s="218">
        <f t="shared" si="1"/>
        <v>0</v>
      </c>
      <c r="K10" s="222"/>
      <c r="L10" s="216">
        <f t="shared" si="2"/>
        <v>0</v>
      </c>
    </row>
    <row r="11" spans="2:12" ht="15" customHeight="1">
      <c r="B11" s="172" t="s">
        <v>516</v>
      </c>
      <c r="C11" s="174">
        <f>SUM(C4:C10)</f>
        <v>8754525</v>
      </c>
      <c r="D11" s="195"/>
      <c r="E11" s="174">
        <f t="shared" ref="E11:L11" si="3">SUM(E4:E10)</f>
        <v>350181</v>
      </c>
      <c r="F11" s="174">
        <f t="shared" si="3"/>
        <v>744134.62500000012</v>
      </c>
      <c r="G11" s="174">
        <f t="shared" si="3"/>
        <v>1094315.625</v>
      </c>
      <c r="H11" s="174">
        <f t="shared" si="3"/>
        <v>350181</v>
      </c>
      <c r="I11" s="174">
        <f t="shared" si="3"/>
        <v>1050543</v>
      </c>
      <c r="J11" s="174">
        <f t="shared" si="3"/>
        <v>1400724</v>
      </c>
      <c r="K11" s="223">
        <f t="shared" si="3"/>
        <v>1245475</v>
      </c>
      <c r="L11" s="224">
        <f t="shared" si="3"/>
        <v>9299638</v>
      </c>
    </row>
    <row r="14" spans="2:12" ht="15" customHeight="1">
      <c r="C14" s="279" t="s">
        <v>589</v>
      </c>
      <c r="D14" s="280"/>
      <c r="E14" s="280"/>
      <c r="F14" s="281" t="s">
        <v>596</v>
      </c>
      <c r="G14" s="282"/>
      <c r="H14" s="282"/>
      <c r="I14" s="283"/>
    </row>
    <row r="15" spans="2:12" ht="15" customHeight="1">
      <c r="C15" s="268" t="s">
        <v>590</v>
      </c>
      <c r="D15" s="268" t="s">
        <v>591</v>
      </c>
      <c r="E15" s="268" t="s">
        <v>592</v>
      </c>
      <c r="F15" s="268" t="s">
        <v>593</v>
      </c>
      <c r="G15" s="268" t="s">
        <v>594</v>
      </c>
      <c r="H15" s="268" t="s">
        <v>595</v>
      </c>
      <c r="I15" s="268" t="s">
        <v>563</v>
      </c>
    </row>
    <row r="16" spans="2:12" ht="15" customHeight="1">
      <c r="C16" s="269">
        <v>5</v>
      </c>
      <c r="D16" s="270">
        <f>SUM(C4:C8)</f>
        <v>8754525</v>
      </c>
      <c r="E16" s="269">
        <v>8</v>
      </c>
      <c r="F16" s="270">
        <f>SUM(E4:E8)</f>
        <v>350181</v>
      </c>
      <c r="G16" s="270">
        <f>SUM(H4:H8)</f>
        <v>350181</v>
      </c>
      <c r="H16" s="270">
        <f>SUM(K4:K8)</f>
        <v>1245475</v>
      </c>
      <c r="I16" s="271">
        <f>D16+G16+F16+H16*E16</f>
        <v>19418687</v>
      </c>
    </row>
    <row r="17" spans="3:9" ht="15" customHeight="1">
      <c r="C17" s="272"/>
      <c r="D17" s="272"/>
      <c r="E17" s="272"/>
      <c r="F17" s="272"/>
      <c r="G17" s="272"/>
      <c r="H17" s="272"/>
      <c r="I17" s="272"/>
    </row>
  </sheetData>
  <mergeCells count="5">
    <mergeCell ref="B2:D2"/>
    <mergeCell ref="E2:G2"/>
    <mergeCell ref="H2:J2"/>
    <mergeCell ref="C14:E14"/>
    <mergeCell ref="F14:I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04AF-F6BC-4BBD-B23A-DB09F9471A3B}">
  <dimension ref="B4:C11"/>
  <sheetViews>
    <sheetView tabSelected="1" workbookViewId="0">
      <selection activeCell="C10" sqref="C10"/>
    </sheetView>
  </sheetViews>
  <sheetFormatPr baseColWidth="10" defaultRowHeight="13.2"/>
  <cols>
    <col min="2" max="2" width="31.6640625" customWidth="1"/>
    <col min="3" max="3" width="35.88671875" customWidth="1"/>
    <col min="5" max="5" width="11.5546875" customWidth="1"/>
  </cols>
  <sheetData>
    <row r="4" spans="2:3" ht="13.8" thickBot="1"/>
    <row r="5" spans="2:3" ht="15" thickBot="1">
      <c r="B5" s="276" t="s">
        <v>597</v>
      </c>
      <c r="C5" s="324"/>
    </row>
    <row r="6" spans="2:3" ht="15" thickBot="1">
      <c r="B6" s="325" t="s">
        <v>507</v>
      </c>
      <c r="C6" s="325" t="s">
        <v>508</v>
      </c>
    </row>
    <row r="7" spans="2:3" ht="14.4">
      <c r="B7" s="326" t="s">
        <v>598</v>
      </c>
      <c r="C7" s="327">
        <v>23290070</v>
      </c>
    </row>
    <row r="8" spans="2:3" ht="14.4">
      <c r="B8" s="326" t="s">
        <v>599</v>
      </c>
      <c r="C8" s="327">
        <v>19418687</v>
      </c>
    </row>
    <row r="9" spans="2:3" ht="14.4">
      <c r="B9" s="326" t="s">
        <v>600</v>
      </c>
      <c r="C9" s="327">
        <f>'[1]Gastos de Personal'!C36</f>
        <v>3593100</v>
      </c>
    </row>
    <row r="10" spans="2:3" ht="15" thickBot="1">
      <c r="B10" s="326" t="s">
        <v>505</v>
      </c>
      <c r="C10" s="327">
        <f>'[1]Gastos Administrativos'!D16</f>
        <v>1340000</v>
      </c>
    </row>
    <row r="11" spans="2:3" ht="15" thickBot="1">
      <c r="B11" s="328" t="s">
        <v>601</v>
      </c>
      <c r="C11" s="329">
        <f>SUM(C7:C10)</f>
        <v>47641857</v>
      </c>
    </row>
  </sheetData>
  <mergeCells count="1">
    <mergeCell ref="B5:C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outlinePr summaryBelow="0" summaryRight="0"/>
  </sheetPr>
  <dimension ref="A1:Z302"/>
  <sheetViews>
    <sheetView showGridLines="0" topLeftCell="A14" workbookViewId="0">
      <selection activeCell="A6" sqref="A6"/>
    </sheetView>
  </sheetViews>
  <sheetFormatPr baseColWidth="10" defaultColWidth="12.6640625" defaultRowHeight="15" customHeight="1"/>
  <cols>
    <col min="2" max="2" width="33.109375" customWidth="1"/>
    <col min="3" max="3" width="21.109375" customWidth="1"/>
    <col min="4" max="4" width="17.77734375" customWidth="1"/>
    <col min="5" max="5" width="9.77734375" customWidth="1"/>
    <col min="6" max="6" width="20.21875" customWidth="1"/>
    <col min="7" max="7" width="12.77734375" customWidth="1"/>
    <col min="8" max="8" width="23.33203125" customWidth="1"/>
    <col min="9" max="9" width="75.21875" customWidth="1"/>
  </cols>
  <sheetData>
    <row r="1" spans="1:26" ht="15" customHeight="1">
      <c r="A1" s="8"/>
      <c r="F1" s="225"/>
    </row>
    <row r="2" spans="1:26" ht="25.8">
      <c r="B2" s="318" t="s">
        <v>536</v>
      </c>
      <c r="C2" s="319"/>
      <c r="D2" s="319"/>
      <c r="E2" s="319"/>
      <c r="F2" s="319"/>
      <c r="G2" s="319"/>
      <c r="H2" s="319"/>
      <c r="I2" s="320"/>
    </row>
    <row r="3" spans="1:26" ht="18.600000000000001" customHeight="1">
      <c r="B3" s="321" t="e" vm="1">
        <v>#VALUE!</v>
      </c>
      <c r="C3" s="323" t="s">
        <v>588</v>
      </c>
      <c r="D3" s="290"/>
      <c r="E3" s="290"/>
      <c r="F3" s="290"/>
      <c r="G3" s="290"/>
      <c r="H3" s="290"/>
      <c r="I3" s="291"/>
    </row>
    <row r="4" spans="1:26" ht="37.799999999999997" customHeight="1">
      <c r="A4" s="226"/>
      <c r="B4" s="322"/>
      <c r="C4" s="323" t="s">
        <v>580</v>
      </c>
      <c r="D4" s="290"/>
      <c r="E4" s="290"/>
      <c r="F4" s="290"/>
      <c r="G4" s="290"/>
      <c r="H4" s="290"/>
      <c r="I4" s="291"/>
      <c r="J4" s="227"/>
      <c r="K4" s="227"/>
      <c r="L4" s="227"/>
      <c r="M4" s="227"/>
      <c r="N4" s="227"/>
      <c r="O4" s="227"/>
      <c r="P4" s="227"/>
      <c r="Q4" s="227"/>
      <c r="R4" s="227"/>
      <c r="S4" s="227"/>
      <c r="T4" s="227"/>
      <c r="U4" s="227"/>
      <c r="V4" s="227"/>
      <c r="W4" s="227"/>
      <c r="X4" s="227"/>
      <c r="Y4" s="227"/>
      <c r="Z4" s="227"/>
    </row>
    <row r="5" spans="1:26" ht="39.6" customHeight="1">
      <c r="A5" s="227"/>
      <c r="B5" s="322"/>
      <c r="C5" s="323" t="s">
        <v>581</v>
      </c>
      <c r="D5" s="290"/>
      <c r="E5" s="290"/>
      <c r="F5" s="290"/>
      <c r="G5" s="290"/>
      <c r="H5" s="290"/>
      <c r="I5" s="291"/>
      <c r="J5" s="227"/>
      <c r="K5" s="227"/>
      <c r="L5" s="227"/>
      <c r="M5" s="227"/>
      <c r="N5" s="227"/>
      <c r="O5" s="227"/>
      <c r="P5" s="227"/>
      <c r="Q5" s="227"/>
      <c r="R5" s="227"/>
      <c r="S5" s="227"/>
      <c r="T5" s="227"/>
      <c r="U5" s="227"/>
      <c r="V5" s="227"/>
      <c r="W5" s="227"/>
      <c r="X5" s="227"/>
      <c r="Y5" s="227"/>
      <c r="Z5" s="227"/>
    </row>
    <row r="6" spans="1:26" ht="48.6" customHeight="1">
      <c r="A6" s="227"/>
      <c r="B6" s="310"/>
      <c r="C6" s="323" t="s">
        <v>582</v>
      </c>
      <c r="D6" s="290"/>
      <c r="E6" s="290"/>
      <c r="F6" s="290"/>
      <c r="G6" s="290"/>
      <c r="H6" s="290"/>
      <c r="I6" s="291"/>
      <c r="J6" s="227"/>
      <c r="K6" s="227"/>
      <c r="L6" s="227"/>
      <c r="M6" s="227"/>
      <c r="N6" s="227"/>
      <c r="O6" s="227"/>
      <c r="P6" s="227"/>
      <c r="Q6" s="227"/>
      <c r="R6" s="227"/>
      <c r="S6" s="227"/>
      <c r="T6" s="227"/>
      <c r="U6" s="227"/>
      <c r="V6" s="227"/>
      <c r="W6" s="227"/>
      <c r="X6" s="227"/>
      <c r="Y6" s="227"/>
      <c r="Z6" s="227"/>
    </row>
    <row r="7" spans="1:26" ht="15.75" customHeight="1">
      <c r="A7" s="227"/>
      <c r="B7" s="228" t="s">
        <v>537</v>
      </c>
      <c r="C7" s="305" t="s">
        <v>583</v>
      </c>
      <c r="D7" s="290"/>
      <c r="E7" s="291"/>
      <c r="F7" s="309" t="s">
        <v>538</v>
      </c>
      <c r="G7" s="311" t="s">
        <v>539</v>
      </c>
      <c r="H7" s="312"/>
      <c r="I7" s="313"/>
      <c r="J7" s="227"/>
      <c r="K7" s="227"/>
      <c r="L7" s="227"/>
      <c r="M7" s="227"/>
      <c r="N7" s="227"/>
      <c r="O7" s="227"/>
      <c r="P7" s="227"/>
      <c r="Q7" s="227"/>
      <c r="R7" s="227"/>
      <c r="S7" s="227"/>
      <c r="T7" s="227"/>
      <c r="U7" s="227"/>
      <c r="V7" s="227"/>
      <c r="W7" s="227"/>
      <c r="X7" s="227"/>
      <c r="Y7" s="227"/>
      <c r="Z7" s="227"/>
    </row>
    <row r="8" spans="1:26" ht="15.75" customHeight="1">
      <c r="A8" s="227"/>
      <c r="B8" s="229" t="s">
        <v>540</v>
      </c>
      <c r="C8" s="315">
        <v>3044740671</v>
      </c>
      <c r="D8" s="290"/>
      <c r="E8" s="291"/>
      <c r="F8" s="310"/>
      <c r="G8" s="314"/>
      <c r="H8" s="295"/>
      <c r="I8" s="296"/>
      <c r="J8" s="227"/>
      <c r="K8" s="227"/>
      <c r="L8" s="227"/>
      <c r="M8" s="227"/>
      <c r="N8" s="227"/>
      <c r="O8" s="227"/>
      <c r="P8" s="227"/>
      <c r="Q8" s="227"/>
      <c r="R8" s="227"/>
      <c r="S8" s="227"/>
      <c r="T8" s="227"/>
      <c r="U8" s="227"/>
      <c r="V8" s="227"/>
      <c r="W8" s="227"/>
      <c r="X8" s="227"/>
      <c r="Y8" s="227"/>
      <c r="Z8" s="227"/>
    </row>
    <row r="9" spans="1:26" ht="15.75" customHeight="1">
      <c r="A9" s="230"/>
      <c r="B9" s="228" t="s">
        <v>541</v>
      </c>
      <c r="C9" s="305" t="s">
        <v>584</v>
      </c>
      <c r="D9" s="290"/>
      <c r="E9" s="291"/>
      <c r="F9" s="309" t="s">
        <v>542</v>
      </c>
      <c r="G9" s="316">
        <v>46118</v>
      </c>
      <c r="H9" s="312"/>
      <c r="I9" s="313"/>
      <c r="J9" s="227"/>
      <c r="K9" s="227"/>
      <c r="L9" s="227"/>
      <c r="M9" s="227"/>
      <c r="N9" s="227"/>
      <c r="O9" s="227"/>
      <c r="P9" s="227"/>
      <c r="Q9" s="227"/>
      <c r="R9" s="227"/>
      <c r="S9" s="227"/>
      <c r="T9" s="227"/>
      <c r="U9" s="227"/>
      <c r="V9" s="227"/>
      <c r="W9" s="227"/>
      <c r="X9" s="227"/>
      <c r="Y9" s="227"/>
      <c r="Z9" s="227"/>
    </row>
    <row r="10" spans="1:26" ht="15.75" customHeight="1">
      <c r="A10" s="227"/>
      <c r="B10" s="229" t="s">
        <v>543</v>
      </c>
      <c r="C10" s="317" t="s">
        <v>587</v>
      </c>
      <c r="D10" s="290"/>
      <c r="E10" s="291"/>
      <c r="F10" s="310"/>
      <c r="G10" s="314"/>
      <c r="H10" s="295"/>
      <c r="I10" s="296"/>
      <c r="J10" s="227"/>
      <c r="K10" s="227"/>
      <c r="L10" s="227"/>
      <c r="M10" s="227"/>
      <c r="N10" s="227"/>
      <c r="O10" s="227"/>
      <c r="P10" s="227"/>
      <c r="Q10" s="227"/>
      <c r="R10" s="227"/>
      <c r="S10" s="227"/>
      <c r="T10" s="227"/>
      <c r="U10" s="227"/>
      <c r="V10" s="227"/>
      <c r="W10" s="227"/>
      <c r="X10" s="227"/>
      <c r="Y10" s="227"/>
      <c r="Z10" s="227"/>
    </row>
    <row r="11" spans="1:26" ht="15.75" customHeight="1">
      <c r="A11" s="230"/>
      <c r="B11" s="306" t="s">
        <v>544</v>
      </c>
      <c r="C11" s="290"/>
      <c r="D11" s="290"/>
      <c r="E11" s="290"/>
      <c r="F11" s="290"/>
      <c r="G11" s="290"/>
      <c r="H11" s="290"/>
      <c r="I11" s="291"/>
      <c r="J11" s="227"/>
      <c r="K11" s="227"/>
      <c r="L11" s="227"/>
      <c r="M11" s="227"/>
      <c r="N11" s="227"/>
      <c r="O11" s="227"/>
      <c r="P11" s="227"/>
      <c r="Q11" s="227"/>
      <c r="R11" s="227"/>
      <c r="S11" s="227"/>
      <c r="T11" s="227"/>
      <c r="U11" s="227"/>
      <c r="V11" s="227"/>
      <c r="W11" s="227"/>
      <c r="X11" s="227"/>
      <c r="Y11" s="227"/>
      <c r="Z11" s="227"/>
    </row>
    <row r="12" spans="1:26" ht="15.75" customHeight="1">
      <c r="A12" s="227"/>
      <c r="B12" s="306" t="s">
        <v>545</v>
      </c>
      <c r="C12" s="290"/>
      <c r="D12" s="290"/>
      <c r="E12" s="290"/>
      <c r="F12" s="290"/>
      <c r="G12" s="290"/>
      <c r="H12" s="290"/>
      <c r="I12" s="291"/>
      <c r="J12" s="227"/>
      <c r="K12" s="227"/>
      <c r="L12" s="227"/>
      <c r="M12" s="227"/>
      <c r="N12" s="227"/>
      <c r="O12" s="227"/>
      <c r="P12" s="227"/>
      <c r="Q12" s="227"/>
      <c r="R12" s="227"/>
      <c r="S12" s="227"/>
      <c r="T12" s="227"/>
      <c r="U12" s="227"/>
      <c r="V12" s="227"/>
      <c r="W12" s="227"/>
      <c r="X12" s="227"/>
      <c r="Y12" s="227"/>
      <c r="Z12" s="227"/>
    </row>
    <row r="13" spans="1:26" ht="15" customHeight="1">
      <c r="A13" s="227"/>
      <c r="B13" s="252" t="s">
        <v>546</v>
      </c>
      <c r="C13" s="252" t="s">
        <v>547</v>
      </c>
      <c r="D13" s="252" t="s">
        <v>548</v>
      </c>
      <c r="E13" s="252" t="s">
        <v>521</v>
      </c>
      <c r="F13" s="252" t="s">
        <v>549</v>
      </c>
      <c r="G13" s="252" t="s">
        <v>550</v>
      </c>
      <c r="H13" s="252" t="s">
        <v>551</v>
      </c>
      <c r="I13" s="252" t="s">
        <v>552</v>
      </c>
      <c r="J13" s="227"/>
      <c r="K13" s="227"/>
      <c r="L13" s="227"/>
      <c r="M13" s="227"/>
      <c r="N13" s="227"/>
      <c r="O13" s="227"/>
      <c r="P13" s="227"/>
      <c r="Q13" s="227"/>
      <c r="R13" s="227"/>
      <c r="S13" s="227"/>
      <c r="T13" s="227"/>
      <c r="U13" s="227"/>
      <c r="V13" s="227"/>
      <c r="W13" s="227"/>
      <c r="X13" s="227"/>
      <c r="Y13" s="227"/>
      <c r="Z13" s="227"/>
    </row>
    <row r="14" spans="1:26" ht="64.5" customHeight="1">
      <c r="A14" s="231"/>
      <c r="B14" s="256" t="s">
        <v>553</v>
      </c>
      <c r="C14" s="257" t="s">
        <v>567</v>
      </c>
      <c r="D14" s="257" t="s">
        <v>24</v>
      </c>
      <c r="E14" s="258">
        <v>1</v>
      </c>
      <c r="F14" s="259">
        <v>1415462.18</v>
      </c>
      <c r="G14" s="259">
        <v>268937.82</v>
      </c>
      <c r="H14" s="259">
        <f>SUM(F14:G14)</f>
        <v>1684400</v>
      </c>
      <c r="I14" s="260" t="s">
        <v>554</v>
      </c>
      <c r="J14" s="231"/>
      <c r="K14" s="231"/>
      <c r="L14" s="231"/>
      <c r="M14" s="231"/>
      <c r="N14" s="231"/>
      <c r="O14" s="231"/>
      <c r="P14" s="231"/>
      <c r="Q14" s="231"/>
      <c r="R14" s="231"/>
      <c r="S14" s="231"/>
      <c r="T14" s="231"/>
      <c r="U14" s="231"/>
      <c r="V14" s="231"/>
      <c r="W14" s="231"/>
      <c r="X14" s="231"/>
      <c r="Y14" s="231"/>
      <c r="Z14" s="231"/>
    </row>
    <row r="15" spans="1:26" ht="64.5" customHeight="1">
      <c r="A15" s="231"/>
      <c r="B15" s="256" t="s">
        <v>555</v>
      </c>
      <c r="C15" s="261" t="s">
        <v>130</v>
      </c>
      <c r="D15" s="262" t="s">
        <v>29</v>
      </c>
      <c r="E15" s="263">
        <v>1</v>
      </c>
      <c r="F15" s="264">
        <v>1663781.51</v>
      </c>
      <c r="G15" s="264">
        <v>316118.49</v>
      </c>
      <c r="H15" s="259">
        <f t="shared" ref="H15:H16" si="0">SUM(F15:G15)</f>
        <v>1979900</v>
      </c>
      <c r="I15" s="265" t="s">
        <v>556</v>
      </c>
      <c r="J15" s="231"/>
      <c r="K15" s="231"/>
      <c r="L15" s="231"/>
      <c r="M15" s="231"/>
      <c r="N15" s="231"/>
      <c r="O15" s="231"/>
      <c r="P15" s="231"/>
      <c r="Q15" s="231"/>
      <c r="R15" s="231"/>
      <c r="S15" s="231"/>
      <c r="T15" s="231"/>
      <c r="U15" s="231"/>
      <c r="V15" s="231"/>
      <c r="W15" s="231"/>
      <c r="X15" s="231"/>
      <c r="Y15" s="231"/>
      <c r="Z15" s="231"/>
    </row>
    <row r="16" spans="1:26" ht="64.5" customHeight="1">
      <c r="A16" s="231"/>
      <c r="B16" s="256" t="s">
        <v>557</v>
      </c>
      <c r="C16" s="261" t="s">
        <v>222</v>
      </c>
      <c r="D16" s="257" t="s">
        <v>29</v>
      </c>
      <c r="E16" s="258">
        <v>1</v>
      </c>
      <c r="F16" s="259">
        <v>32773.11</v>
      </c>
      <c r="G16" s="259">
        <v>6370.59</v>
      </c>
      <c r="H16" s="259">
        <f t="shared" si="0"/>
        <v>39143.699999999997</v>
      </c>
      <c r="I16" s="266" t="s">
        <v>558</v>
      </c>
      <c r="J16" s="231"/>
      <c r="K16" s="231"/>
      <c r="L16" s="231"/>
      <c r="M16" s="231"/>
      <c r="N16" s="231"/>
      <c r="O16" s="231"/>
      <c r="P16" s="231"/>
      <c r="Q16" s="231"/>
      <c r="R16" s="231"/>
      <c r="S16" s="231"/>
      <c r="T16" s="231"/>
      <c r="U16" s="231"/>
      <c r="V16" s="231"/>
      <c r="W16" s="231"/>
      <c r="X16" s="231"/>
      <c r="Y16" s="231"/>
      <c r="Z16" s="231"/>
    </row>
    <row r="17" spans="1:26" ht="64.5" customHeight="1">
      <c r="A17" s="231"/>
      <c r="B17" s="256" t="s">
        <v>585</v>
      </c>
      <c r="C17" s="257" t="s">
        <v>258</v>
      </c>
      <c r="D17" s="257" t="s">
        <v>586</v>
      </c>
      <c r="E17" s="258">
        <v>1</v>
      </c>
      <c r="F17" s="259">
        <v>176900.84</v>
      </c>
      <c r="G17" s="259">
        <v>3501.25</v>
      </c>
      <c r="H17" s="267">
        <f>SUM(F17:G17)</f>
        <v>180402.09</v>
      </c>
      <c r="I17" s="260" t="s">
        <v>559</v>
      </c>
      <c r="J17" s="231"/>
      <c r="K17" s="231"/>
      <c r="L17" s="231"/>
      <c r="M17" s="231"/>
      <c r="N17" s="231"/>
      <c r="O17" s="231"/>
      <c r="P17" s="231"/>
      <c r="Q17" s="231"/>
      <c r="R17" s="231"/>
      <c r="S17" s="231"/>
      <c r="T17" s="231"/>
      <c r="U17" s="231"/>
      <c r="V17" s="231"/>
      <c r="W17" s="231"/>
      <c r="X17" s="231"/>
      <c r="Y17" s="231"/>
      <c r="Z17" s="231"/>
    </row>
    <row r="18" spans="1:26" ht="64.5" customHeight="1">
      <c r="A18" s="231"/>
      <c r="B18" s="256" t="s">
        <v>560</v>
      </c>
      <c r="C18" s="257" t="s">
        <v>561</v>
      </c>
      <c r="D18" s="257" t="s">
        <v>236</v>
      </c>
      <c r="E18" s="258">
        <v>1</v>
      </c>
      <c r="F18" s="259">
        <v>48717.17</v>
      </c>
      <c r="G18" s="259">
        <v>9256.26</v>
      </c>
      <c r="H18" s="267">
        <f>SUM(F18:G18)</f>
        <v>57973.43</v>
      </c>
      <c r="I18" s="260" t="s">
        <v>562</v>
      </c>
      <c r="J18" s="231"/>
      <c r="K18" s="231"/>
      <c r="L18" s="231"/>
      <c r="M18" s="231"/>
      <c r="N18" s="231"/>
      <c r="O18" s="231"/>
      <c r="P18" s="231"/>
      <c r="Q18" s="231"/>
      <c r="R18" s="231"/>
      <c r="S18" s="231"/>
      <c r="T18" s="231"/>
      <c r="U18" s="231"/>
      <c r="V18" s="231"/>
      <c r="W18" s="231"/>
      <c r="X18" s="231"/>
      <c r="Y18" s="231"/>
      <c r="Z18" s="231"/>
    </row>
    <row r="19" spans="1:26" ht="16.8">
      <c r="A19" s="227"/>
      <c r="B19" s="307" t="s">
        <v>563</v>
      </c>
      <c r="C19" s="308"/>
      <c r="D19" s="308"/>
      <c r="E19" s="308"/>
      <c r="F19" s="253">
        <f t="shared" ref="F19:G19" si="1">SUM(F14,F15,F16,F17,F18)</f>
        <v>3337634.8099999996</v>
      </c>
      <c r="G19" s="254">
        <f t="shared" si="1"/>
        <v>604184.41</v>
      </c>
      <c r="H19" s="255">
        <f>SUM(H14,H15,H16,H17, H18)</f>
        <v>3941819.22</v>
      </c>
      <c r="I19" s="255"/>
      <c r="J19" s="227"/>
      <c r="K19" s="227"/>
      <c r="L19" s="227"/>
      <c r="M19" s="227"/>
      <c r="N19" s="227"/>
      <c r="O19" s="227"/>
      <c r="P19" s="227"/>
      <c r="Q19" s="227"/>
      <c r="R19" s="227"/>
      <c r="S19" s="227"/>
      <c r="T19" s="227"/>
      <c r="U19" s="227"/>
      <c r="V19" s="227"/>
      <c r="W19" s="227"/>
      <c r="X19" s="227"/>
      <c r="Y19" s="227"/>
      <c r="Z19" s="227"/>
    </row>
    <row r="20" spans="1:26" ht="16.8">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row>
    <row r="21" spans="1:26" ht="16.8">
      <c r="A21" s="227"/>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row>
    <row r="22" spans="1:26" ht="16.8">
      <c r="A22" s="227"/>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row>
    <row r="23" spans="1:26" ht="16.8">
      <c r="A23" s="227"/>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row>
    <row r="24" spans="1:26" ht="16.8">
      <c r="A24" s="227"/>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row>
    <row r="25" spans="1:26" ht="16.8">
      <c r="A25" s="230"/>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row>
    <row r="26" spans="1:26" ht="16.8">
      <c r="A26" s="227"/>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row>
    <row r="27" spans="1:26" ht="16.8">
      <c r="A27" s="230"/>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27"/>
      <c r="Z27" s="227"/>
    </row>
    <row r="28" spans="1:26" ht="16.8">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6.8">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16.8">
      <c r="A30" s="227"/>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6.8">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spans="1:26" ht="16.8">
      <c r="A32" s="227"/>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row>
    <row r="33" spans="1:26" ht="16.8">
      <c r="A33" s="227"/>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row>
    <row r="34" spans="1:26" ht="16.8">
      <c r="A34" s="227"/>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7"/>
      <c r="Z34" s="227"/>
    </row>
    <row r="35" spans="1:26" ht="16.8">
      <c r="A35" s="227"/>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spans="1:26" ht="16.8">
      <c r="A36" s="226"/>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27"/>
      <c r="Z36" s="227"/>
    </row>
    <row r="37" spans="1:26" ht="16.8">
      <c r="A37" s="226"/>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row>
    <row r="38" spans="1:26" ht="16.8">
      <c r="A38" s="227"/>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7"/>
      <c r="Z38" s="227"/>
    </row>
    <row r="39" spans="1:26" ht="16.8">
      <c r="A39" s="227"/>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27"/>
      <c r="Z39" s="227"/>
    </row>
    <row r="40" spans="1:26" ht="16.8">
      <c r="A40" s="227"/>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row>
    <row r="41" spans="1:26" ht="16.8">
      <c r="A41" s="227"/>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row>
    <row r="42" spans="1:26" ht="16.8">
      <c r="A42" s="227"/>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row>
    <row r="43" spans="1:26" ht="16.8">
      <c r="A43" s="230"/>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row>
    <row r="44" spans="1:26" ht="16.8">
      <c r="A44" s="227"/>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row>
    <row r="45" spans="1:26" ht="16.8">
      <c r="A45" s="230"/>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row>
    <row r="46" spans="1:26" ht="16.8">
      <c r="A46" s="227"/>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spans="1:26" ht="16.8">
      <c r="A47" s="227"/>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row>
    <row r="48" spans="1:26" ht="16.8">
      <c r="A48" s="227"/>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row>
    <row r="49" spans="1:26" ht="16.8">
      <c r="A49" s="227"/>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row>
    <row r="50" spans="1:26" ht="16.8">
      <c r="A50" s="227"/>
      <c r="B50" s="227"/>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row>
    <row r="51" spans="1:26" ht="16.8">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6.8">
      <c r="A52" s="227"/>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spans="1:26" ht="16.8">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spans="1:26" ht="16.8">
      <c r="A54" s="226"/>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spans="1:26" ht="16.8">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6.8">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6.8">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6.8">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6.8">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6.8">
      <c r="A60" s="230"/>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6.8">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6.8">
      <c r="A62" s="230"/>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6.8">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6.8">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6.8">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6.8">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6.8">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6.8">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6.8">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6.8">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6.8">
      <c r="A71" s="226"/>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6.8">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6.8">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6.8">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6.8">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6.8">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6.8">
      <c r="A77" s="230"/>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6.8">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6.8">
      <c r="A79" s="230"/>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6.8">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6.8">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6.8">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6.8">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6.8">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6.8">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6.8">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6.8">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6.8">
      <c r="A88" s="226"/>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6.8">
      <c r="A89" s="226"/>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6.8">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6.8">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6.8">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6.8">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6.8">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6.8">
      <c r="A95" s="230"/>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6.8">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6.8">
      <c r="A97" s="230"/>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6.8">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6.8">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6.8">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6.8">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6.8">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6.8">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6.8">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6.8">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6.8">
      <c r="A106" s="226"/>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6.8">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6.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6.8">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6.8">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6.8">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6.8">
      <c r="A112" s="230"/>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6.8">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6.8">
      <c r="A114" s="230"/>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6.8">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6.8">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6.8">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6.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6.8">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6.8">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6.8">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6.8">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6.8">
      <c r="A123" s="226"/>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6.8">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6.8">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6.8">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6.8">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6.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6.8">
      <c r="A129" s="230"/>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6.8">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6.8">
      <c r="A131" s="230"/>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6.8">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6.8">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6.8">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6.8">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6.8">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6.8">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6.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6.8">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6.8">
      <c r="A140" s="226"/>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6.8">
      <c r="A141" s="226"/>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6.8">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6.8">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6.8">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6.8">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6.8">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6.8">
      <c r="A147" s="230"/>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6.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6.8">
      <c r="A149" s="230"/>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6.8">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6.8">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6.8">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6.8">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6.8">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6.8">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6.8">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6.8">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6.8">
      <c r="A158" s="226"/>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6.8">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6.8">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6.8">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6.8">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6.8">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6.8">
      <c r="A164" s="230"/>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6.8">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6.8">
      <c r="A166" s="230"/>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6.8">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6.8">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6.8">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6.8">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6.8">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6.8">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6.8">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6.8">
      <c r="A175" s="226"/>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6.8">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6.8">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6.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6.8">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6.8">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6.8">
      <c r="A181" s="230"/>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6.8">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6.8">
      <c r="A183" s="230"/>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6.8">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6.8">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6.8">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6.8">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6.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6.8">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6.8">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6.8">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6.8">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6.8">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6.8">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6.8">
      <c r="A195" s="226"/>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6.8">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6.8">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6.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6.8">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6.8">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6.8">
      <c r="A201" s="230"/>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6.8">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6.8">
      <c r="A203" s="230"/>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6.8">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6.8">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6.8">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6.8">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6.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6.8">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6.8">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6.8">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6.8">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6.8">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6.8">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6.8">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6.8">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6.8">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6.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6.8">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6.8">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6.8">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6.8">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6.8">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6.8">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6.8">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6.8">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6.8">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6.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6.8">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6.8">
      <c r="A230" s="226"/>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6.8">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6.8">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6.8">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6.8">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6.8">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6.8">
      <c r="A236" s="230"/>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6.8">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6.8">
      <c r="A238" s="230"/>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6.8">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6.8">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6.8">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6.8">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6.8">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6.8">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6.8">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6.8">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6.8">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6.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6.8">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6.8">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6.8">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6.8">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6.8">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spans="1:26" ht="16.8">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spans="1:26" ht="16.8">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spans="1:26" ht="16.8">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spans="1:26" ht="16.8">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spans="1:26" ht="16.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spans="1:26" ht="16.8">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spans="1:26" ht="16.8">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spans="1:26" ht="16.8">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spans="1:26" ht="16.8">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spans="1:26" ht="16.8">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spans="1:26" ht="16.8">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spans="1:26" ht="16.8">
      <c r="A265" s="230"/>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spans="1:26" ht="16.8">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spans="1:26" ht="16.8">
      <c r="A267" s="230"/>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spans="1:26" ht="1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spans="1:26" ht="16.8">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spans="1:26" ht="16.8">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spans="1:26" ht="16.8">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spans="1:26" ht="16.8">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spans="1:26" ht="16.8">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spans="1:26" ht="16.8">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spans="1:26" ht="16.8">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spans="1:26" ht="16.8">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spans="1:26" ht="16.8">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spans="1:26" ht="16.8">
      <c r="A278" s="226"/>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spans="1:26" ht="16.8">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spans="1:26" ht="16.8">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spans="1:26" ht="16.8">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spans="1:26" ht="16.8">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spans="1:26" ht="16.8">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spans="1:26" ht="16.8">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spans="1:26" ht="16.8">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spans="1:26" ht="16.8">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spans="1:26" ht="16.8">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spans="1:26" ht="16.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spans="1:26" ht="16.8">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spans="1:26" ht="16.8">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spans="1:26" ht="16.8">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spans="1:26" ht="16.8">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spans="1:26" ht="16.8">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spans="1:26" ht="16.8">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spans="1:26" ht="16.8">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spans="1:26" ht="16.8">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spans="1:26" ht="16.8">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spans="1:26" ht="16.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spans="1:26" ht="16.8">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spans="1:26" ht="16.8">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spans="1:26" ht="16.8">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spans="1:26" ht="16.8">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sheetData>
  <mergeCells count="17">
    <mergeCell ref="B2:I2"/>
    <mergeCell ref="B3:B6"/>
    <mergeCell ref="C3:I3"/>
    <mergeCell ref="C4:I4"/>
    <mergeCell ref="C5:I5"/>
    <mergeCell ref="C6:I6"/>
    <mergeCell ref="C7:E7"/>
    <mergeCell ref="B11:I11"/>
    <mergeCell ref="B12:I12"/>
    <mergeCell ref="B19:E19"/>
    <mergeCell ref="F7:F8"/>
    <mergeCell ref="G7:I8"/>
    <mergeCell ref="C8:E8"/>
    <mergeCell ref="C9:E9"/>
    <mergeCell ref="F9:F10"/>
    <mergeCell ref="G9:I10"/>
    <mergeCell ref="C10:E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Portada</vt:lpstr>
      <vt:lpstr>Portatil admid</vt:lpstr>
      <vt:lpstr>Ram portatil Admin</vt:lpstr>
      <vt:lpstr>Disco duro externo Portatil Adm</vt:lpstr>
      <vt:lpstr>Almacenamiento Portatil Admin</vt:lpstr>
      <vt:lpstr>Mouse Admin</vt:lpstr>
      <vt:lpstr>Portatil nosotros</vt:lpstr>
      <vt:lpstr>Almacenamiento nosotros</vt:lpstr>
      <vt:lpstr>RAM nosotros</vt:lpstr>
      <vt:lpstr>Mouse nosotros</vt:lpstr>
      <vt:lpstr>Disco duro externo nosotros</vt:lpstr>
      <vt:lpstr>windows 11 licencia</vt:lpstr>
      <vt:lpstr>Servicio Nube</vt:lpstr>
      <vt:lpstr>Ensamblaje</vt:lpstr>
      <vt:lpstr>ParaFiscales</vt:lpstr>
      <vt:lpstr>Plan de Inversion</vt:lpstr>
      <vt:lpstr>Gastos de Personal</vt:lpstr>
      <vt:lpstr>Costo del Proyecto</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JUAN FELIPE LASPRILLA MARTINEZ</cp:lastModifiedBy>
  <dcterms:created xsi:type="dcterms:W3CDTF">2010-11-08T17:12:41Z</dcterms:created>
  <dcterms:modified xsi:type="dcterms:W3CDTF">2026-04-13T20:04:43Z</dcterms:modified>
</cp:coreProperties>
</file>