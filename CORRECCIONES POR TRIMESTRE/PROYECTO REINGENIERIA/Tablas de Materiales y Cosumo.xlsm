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dbb6e603b2f6ed4/Desktop/PROYECTO REINGENIERIA/"/>
    </mc:Choice>
  </mc:AlternateContent>
  <xr:revisionPtr revIDLastSave="5" documentId="13_ncr:2001_{D619ADD4-2C42-4B46-8A07-1F19C48E71A4}" xr6:coauthVersionLast="47" xr6:coauthVersionMax="47" xr10:uidLastSave="{9C9F0647-DAAA-4251-B7CB-9AAAA661818D}"/>
  <bookViews>
    <workbookView xWindow="-110" yWindow="-110" windowWidth="19420" windowHeight="11020" firstSheet="1" activeTab="1" xr2:uid="{765EFA26-EEC8-4D0A-8C68-B673615F5A15}"/>
  </bookViews>
  <sheets>
    <sheet name="TABLAS DE PRODUCTOS" sheetId="1" r:id="rId1"/>
    <sheet name="CONSUMO MATERIALES" sheetId="2" r:id="rId2"/>
    <sheet name="TABLA PEDIDOS" sheetId="4" r:id="rId3"/>
    <sheet name="EJEMPLO" sheetId="3" r:id="rId4"/>
    <sheet name="TABLA MAESTRA" sheetId="5" r:id="rId5"/>
    <sheet name="EJEMPLO PEDIDO FINAL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3" i="6" l="1"/>
  <c r="E22" i="6"/>
  <c r="E21" i="6"/>
  <c r="E15" i="6"/>
  <c r="E14" i="6"/>
  <c r="E13" i="6"/>
  <c r="E6" i="6"/>
  <c r="E7" i="6"/>
  <c r="E5" i="6" l="1"/>
</calcChain>
</file>

<file path=xl/sharedStrings.xml><?xml version="1.0" encoding="utf-8"?>
<sst xmlns="http://schemas.openxmlformats.org/spreadsheetml/2006/main" count="517" uniqueCount="282">
  <si>
    <t>Tablas para la empresa de dotaciones Fortuna IJ</t>
  </si>
  <si>
    <t>Tabla: Productos</t>
  </si>
  <si>
    <t>id_producto</t>
  </si>
  <si>
    <t>nombre_producto</t>
  </si>
  <si>
    <t>descripcion</t>
  </si>
  <si>
    <t>talla</t>
  </si>
  <si>
    <t>color</t>
  </si>
  <si>
    <t>precio_venta</t>
  </si>
  <si>
    <t>stock</t>
  </si>
  <si>
    <t>id_materia_prima</t>
  </si>
  <si>
    <t>fecha_registro</t>
  </si>
  <si>
    <t>Camisa Empresarial</t>
  </si>
  <si>
    <t>Camisa manga larga empresarial</t>
  </si>
  <si>
    <t>M</t>
  </si>
  <si>
    <t>Azul</t>
  </si>
  <si>
    <t>Pantalón Industrial</t>
  </si>
  <si>
    <t>Pantalón resistente industrial</t>
  </si>
  <si>
    <t>L</t>
  </si>
  <si>
    <t>Negro</t>
  </si>
  <si>
    <t>Chaqueta Reflectiva</t>
  </si>
  <si>
    <t>Chaqueta de seguridad reflectiva</t>
  </si>
  <si>
    <t>XL</t>
  </si>
  <si>
    <t>Verde</t>
  </si>
  <si>
    <t>Overol Industrial</t>
  </si>
  <si>
    <t>Overol completo de trabajo</t>
  </si>
  <si>
    <t>Azul Oscuro</t>
  </si>
  <si>
    <t>Bata Médica</t>
  </si>
  <si>
    <t>Bata blanca para laboratorio</t>
  </si>
  <si>
    <t>Blanco</t>
  </si>
  <si>
    <t>Chaleco de Seguridad</t>
  </si>
  <si>
    <t>Chaleco reflectivo industrial</t>
  </si>
  <si>
    <t>Única</t>
  </si>
  <si>
    <t>Naranja</t>
  </si>
  <si>
    <t>Camiseta Polo</t>
  </si>
  <si>
    <t>Camiseta tipo polo empresarial</t>
  </si>
  <si>
    <t>S</t>
  </si>
  <si>
    <t>Gris</t>
  </si>
  <si>
    <t>Gorro Industrial</t>
  </si>
  <si>
    <t>Gorro protector industrial</t>
  </si>
  <si>
    <t>Delantal Impermeable</t>
  </si>
  <si>
    <t>Delantal de protección</t>
  </si>
  <si>
    <t>Uniforme Escolar</t>
  </si>
  <si>
    <t>Uniforme completo escolar</t>
  </si>
  <si>
    <t>Vinotinto</t>
  </si>
  <si>
    <t>Jean Empresarial</t>
  </si>
  <si>
    <t>Jean para dotación laboral</t>
  </si>
  <si>
    <t>Sudadera Deportiva</t>
  </si>
  <si>
    <t>Sudadera institucional</t>
  </si>
  <si>
    <t>Camisa Antifluido</t>
  </si>
  <si>
    <t>Camisa de protección antifluido</t>
  </si>
  <si>
    <t>Celeste</t>
  </si>
  <si>
    <t>Pijama Quirúrgica</t>
  </si>
  <si>
    <t>Uniforme médico quirúrgico</t>
  </si>
  <si>
    <t>Botas Industriales</t>
  </si>
  <si>
    <t>Botas de seguridad</t>
  </si>
  <si>
    <t>Tabla: Insumos</t>
  </si>
  <si>
    <t>id_insumo</t>
  </si>
  <si>
    <t>nombre_insumo</t>
  </si>
  <si>
    <t>unidad_medida</t>
  </si>
  <si>
    <t>cantidad_disponible</t>
  </si>
  <si>
    <t>costo_unitario</t>
  </si>
  <si>
    <t>proveedor</t>
  </si>
  <si>
    <t>fecha_ingreso</t>
  </si>
  <si>
    <t>Hilo Negro</t>
  </si>
  <si>
    <t>Unidad</t>
  </si>
  <si>
    <t>Textiles SAS</t>
  </si>
  <si>
    <t>Botones</t>
  </si>
  <si>
    <t>Bolsa</t>
  </si>
  <si>
    <t>Insumos Colombia</t>
  </si>
  <si>
    <t>Tabla: Materias_Primas</t>
  </si>
  <si>
    <t>nombre_materia</t>
  </si>
  <si>
    <t>tipo_material</t>
  </si>
  <si>
    <t>cantidad_stock</t>
  </si>
  <si>
    <t>fecha_compra</t>
  </si>
  <si>
    <t>Tela Oxford</t>
  </si>
  <si>
    <t>Metros</t>
  </si>
  <si>
    <t>Dril Industrial</t>
  </si>
  <si>
    <t>Fabrica Telas</t>
  </si>
  <si>
    <t>Hilo para confección industrial</t>
  </si>
  <si>
    <t>Botones plásticos resistentes</t>
  </si>
  <si>
    <t>Cremalleras</t>
  </si>
  <si>
    <t>Cremalleras metálicas</t>
  </si>
  <si>
    <t>Cierres Nacionales</t>
  </si>
  <si>
    <t>Velcro Industrial</t>
  </si>
  <si>
    <t>Velcro adhesivo industrial</t>
  </si>
  <si>
    <t>Metro</t>
  </si>
  <si>
    <t>Dotainsumos SAS</t>
  </si>
  <si>
    <t>Elástico</t>
  </si>
  <si>
    <t>Elástico para uniformes</t>
  </si>
  <si>
    <t>Elásticos Bogotá</t>
  </si>
  <si>
    <t>Etiquetas Bordadas</t>
  </si>
  <si>
    <t>Etiquetas con logo empresarial</t>
  </si>
  <si>
    <t>Bordados Elite</t>
  </si>
  <si>
    <t>Broches Metálicos</t>
  </si>
  <si>
    <t>Broches de seguridad</t>
  </si>
  <si>
    <t>Caja</t>
  </si>
  <si>
    <t>Seguridad Textil</t>
  </si>
  <si>
    <t>Cinta Reflectiva</t>
  </si>
  <si>
    <t>Cinta reflectiva de seguridad</t>
  </si>
  <si>
    <t>Reflectivos SAS</t>
  </si>
  <si>
    <t>Agujas Industriales</t>
  </si>
  <si>
    <t>Agujas para máquina industrial</t>
  </si>
  <si>
    <t>Máquinas y Costuras</t>
  </si>
  <si>
    <t>Pegante Textil</t>
  </si>
  <si>
    <t>Adhesivo especial para telas</t>
  </si>
  <si>
    <t>Pegatex Colombia</t>
  </si>
  <si>
    <t>Hilo Blanco</t>
  </si>
  <si>
    <t>Hilo blanco para confección</t>
  </si>
  <si>
    <t>Cinta Métrica</t>
  </si>
  <si>
    <t>Cinta para medición textil</t>
  </si>
  <si>
    <t>Insumos Bogotá</t>
  </si>
  <si>
    <t>Papel de Molde</t>
  </si>
  <si>
    <t>Papel para diseño de patrones</t>
  </si>
  <si>
    <t>Rollo</t>
  </si>
  <si>
    <t>Diseños Industriales</t>
  </si>
  <si>
    <t>Tiza Textil</t>
  </si>
  <si>
    <t>Tiza para marcar tela</t>
  </si>
  <si>
    <t>Costura Fácil</t>
  </si>
  <si>
    <t>Empaque Plástico</t>
  </si>
  <si>
    <t>Bolsa para empaque de dotaciones</t>
  </si>
  <si>
    <t>Paquete</t>
  </si>
  <si>
    <t>Tela para camisas empresariales</t>
  </si>
  <si>
    <t>Tela resistente para pantalones</t>
  </si>
  <si>
    <t>Tela Reflectiva</t>
  </si>
  <si>
    <t>Material reflectivo de seguridad</t>
  </si>
  <si>
    <t>Seguridad Industrial SAS</t>
  </si>
  <si>
    <t>Tela Antifluido</t>
  </si>
  <si>
    <t>Tela impermeable médica</t>
  </si>
  <si>
    <t>Antifluidos Colombia</t>
  </si>
  <si>
    <t>Algodón Premium</t>
  </si>
  <si>
    <t>Algodón para uniformes</t>
  </si>
  <si>
    <t>Algodones Nacionales</t>
  </si>
  <si>
    <t>Poliéster</t>
  </si>
  <si>
    <t>Tela sintética resistente</t>
  </si>
  <si>
    <t>Textiles Modernos</t>
  </si>
  <si>
    <t>Cuero Industrial</t>
  </si>
  <si>
    <t>Cuero para botas y accesorios</t>
  </si>
  <si>
    <t>CueroFino SAS</t>
  </si>
  <si>
    <t>Denim Azul</t>
  </si>
  <si>
    <t>Tela jean industrial</t>
  </si>
  <si>
    <t>Denim Factory</t>
  </si>
  <si>
    <t>Licra Deportiva</t>
  </si>
  <si>
    <t>Tela elástica deportiva</t>
  </si>
  <si>
    <t>Sport Textiles</t>
  </si>
  <si>
    <t>Goma Antideslizante</t>
  </si>
  <si>
    <t>Material para suelas de botas</t>
  </si>
  <si>
    <t>Unidades</t>
  </si>
  <si>
    <t>Seguridad Total</t>
  </si>
  <si>
    <t>Tela Microfibra</t>
  </si>
  <si>
    <t>Tela suave y resistente</t>
  </si>
  <si>
    <t>Microtex SAS</t>
  </si>
  <si>
    <t>Lona Industrial</t>
  </si>
  <si>
    <t>Lona gruesa para delantales</t>
  </si>
  <si>
    <t>Lonas Bogotá</t>
  </si>
  <si>
    <t>Tela Gabardina</t>
  </si>
  <si>
    <t>Tela formal empresarial</t>
  </si>
  <si>
    <t>Gabardinas Elite</t>
  </si>
  <si>
    <t>Espuma Protectora</t>
  </si>
  <si>
    <t>Material acolchado industrial</t>
  </si>
  <si>
    <t>Rollos</t>
  </si>
  <si>
    <t>Protección SAS</t>
  </si>
  <si>
    <t>Tela Polar</t>
  </si>
  <si>
    <t>Tela térmica para chaquetas</t>
  </si>
  <si>
    <t>Consumo de Material por Prenda y Talla</t>
  </si>
  <si>
    <t>Tabla: Consumo_Camisa_Empresarial</t>
  </si>
  <si>
    <t>tela_oxford_metros</t>
  </si>
  <si>
    <t>hilo_unidades</t>
  </si>
  <si>
    <t>botones_unidades</t>
  </si>
  <si>
    <t>1.2</t>
  </si>
  <si>
    <t>1.4</t>
  </si>
  <si>
    <t>1.6</t>
  </si>
  <si>
    <t>1.8</t>
  </si>
  <si>
    <t>Tabla: Consumo_Pantalon_Industrial</t>
  </si>
  <si>
    <t>dril_metros</t>
  </si>
  <si>
    <t>cremallera_unidades</t>
  </si>
  <si>
    <t>1.3</t>
  </si>
  <si>
    <t>1.5</t>
  </si>
  <si>
    <t>1.7</t>
  </si>
  <si>
    <t>1.9</t>
  </si>
  <si>
    <t>Tabla: Consumo_Chaqueta_Reflectiva</t>
  </si>
  <si>
    <t>tela_reflectiva_metros</t>
  </si>
  <si>
    <t>cinta_reflectiva_metros</t>
  </si>
  <si>
    <t>2.0</t>
  </si>
  <si>
    <t>2.2</t>
  </si>
  <si>
    <t>2.3</t>
  </si>
  <si>
    <t>2.5</t>
  </si>
  <si>
    <t>XXL</t>
  </si>
  <si>
    <t>2.8</t>
  </si>
  <si>
    <t>Tabla: Consumo_Overol_Industrial</t>
  </si>
  <si>
    <t>dril_industrial_metros</t>
  </si>
  <si>
    <t>3.0</t>
  </si>
  <si>
    <t>3.3</t>
  </si>
  <si>
    <t>Tabla: Consumo_Bata_Medica</t>
  </si>
  <si>
    <t>tela_antifluido_metros</t>
  </si>
  <si>
    <t>2.1</t>
  </si>
  <si>
    <t>Tabla: Consumo_Chaleco_Seguridad</t>
  </si>
  <si>
    <t>velcro_metros</t>
  </si>
  <si>
    <t>0.8</t>
  </si>
  <si>
    <t>0.3</t>
  </si>
  <si>
    <t>1.0</t>
  </si>
  <si>
    <t>0.4</t>
  </si>
  <si>
    <t>0.5</t>
  </si>
  <si>
    <t>Tabla: Consumo_Camiseta_Polo</t>
  </si>
  <si>
    <t>algodon_premium_metros</t>
  </si>
  <si>
    <t>1.1</t>
  </si>
  <si>
    <t>Tabla: Consumo_Gorro_Industrial</t>
  </si>
  <si>
    <t>poliester_metros</t>
  </si>
  <si>
    <t>elastico_metros</t>
  </si>
  <si>
    <t>0.2</t>
  </si>
  <si>
    <t>Tabla: Consumo_Delantal_Impermeable</t>
  </si>
  <si>
    <t>lona_industrial_metros</t>
  </si>
  <si>
    <t>Tabla: Consumo_Uniforme_Escolar</t>
  </si>
  <si>
    <t>tela_gabardina_metros</t>
  </si>
  <si>
    <t>Tabla: Consumo_Jean_Empresarial</t>
  </si>
  <si>
    <t>denim_azul_metros</t>
  </si>
  <si>
    <t>Tabla: Consumo_Sudadera_Deportiva</t>
  </si>
  <si>
    <t>licra_deportiva_metros</t>
  </si>
  <si>
    <t>Tabla: Consumo_Camisa_Antifluido</t>
  </si>
  <si>
    <t>Tabla: Consumo_Pijama_Quirurgica</t>
  </si>
  <si>
    <t>0.6</t>
  </si>
  <si>
    <t>0.7</t>
  </si>
  <si>
    <t>Tabla: Consumo_Botas_Industriales</t>
  </si>
  <si>
    <t>cuero_industrial_metros</t>
  </si>
  <si>
    <t>goma_antideslizante_unidades</t>
  </si>
  <si>
    <t>cordones_unidades</t>
  </si>
  <si>
    <t>FECHA</t>
  </si>
  <si>
    <t>DETALLE</t>
  </si>
  <si>
    <t xml:space="preserve"> CANTIDAD</t>
  </si>
  <si>
    <t>V/UNIT</t>
  </si>
  <si>
    <t xml:space="preserve"> V/TOTAL</t>
  </si>
  <si>
    <t>INGRESOS</t>
  </si>
  <si>
    <t xml:space="preserve"> V/UNIT</t>
  </si>
  <si>
    <t>EGRESOS</t>
  </si>
  <si>
    <t>SALDO</t>
  </si>
  <si>
    <t>EMPRESA DOTACIONES FORTUNA IJ</t>
  </si>
  <si>
    <t>TARJETA KARDEX</t>
  </si>
  <si>
    <t>ARTICULO:</t>
  </si>
  <si>
    <t>UNIDAD DE MEDIDA:</t>
  </si>
  <si>
    <t>METODO DE VALORACION:</t>
  </si>
  <si>
    <t>CODIGO:</t>
  </si>
  <si>
    <t>CANT. MAXIMA:</t>
  </si>
  <si>
    <t>CANT. MINIMA:</t>
  </si>
  <si>
    <t>Saldo inicial Camisas Tipo Polo Industriales</t>
  </si>
  <si>
    <t>Compra Tela Oxford y producción de dotaciones</t>
  </si>
  <si>
    <t>Venta Dotación Industrial Cliente Minería SAS</t>
  </si>
  <si>
    <t>Devolución Cliente Minería SAS</t>
  </si>
  <si>
    <t>Producción Overoles Industriales</t>
  </si>
  <si>
    <t>Venta Uniformes Empresa Petrolera</t>
  </si>
  <si>
    <t>Venta Chalecos Reflectivos</t>
  </si>
  <si>
    <t>Ajuste por prendas defectuosas</t>
  </si>
  <si>
    <t>Producción Camisas Antifluido</t>
  </si>
  <si>
    <t>Venta Dotaciones Hospitalarias</t>
  </si>
  <si>
    <t>Compra Materia Prima Tela Antifluido</t>
  </si>
  <si>
    <t>Venta Uniformes Seguridad Industrial</t>
  </si>
  <si>
    <t>Producción Sudaderas Empresariales</t>
  </si>
  <si>
    <t>Venta Dotaciones Empresa Logística</t>
  </si>
  <si>
    <t>Venta Dotaciones Fortuna IJ Cliente Construcción</t>
  </si>
  <si>
    <t>ID Pedido</t>
  </si>
  <si>
    <t>Cliente</t>
  </si>
  <si>
    <t>Producto</t>
  </si>
  <si>
    <t>Talla</t>
  </si>
  <si>
    <t>Cantidad</t>
  </si>
  <si>
    <t>PED-001</t>
  </si>
  <si>
    <t>Minería SAS</t>
  </si>
  <si>
    <t>PED-002</t>
  </si>
  <si>
    <t>Constructora ABC</t>
  </si>
  <si>
    <t>PED-003</t>
  </si>
  <si>
    <t>Hospital Central</t>
  </si>
  <si>
    <t>Material</t>
  </si>
  <si>
    <t>Consumo</t>
  </si>
  <si>
    <t>Hilo</t>
  </si>
  <si>
    <t>Cremallera</t>
  </si>
  <si>
    <t>Consumo por Prenda</t>
  </si>
  <si>
    <t>Cantidad Pedido</t>
  </si>
  <si>
    <t>Total Requerido</t>
  </si>
  <si>
    <t>Tela Oxford (m)</t>
  </si>
  <si>
    <t>Hilo (und)</t>
  </si>
  <si>
    <t>Botones (und)</t>
  </si>
  <si>
    <t>MINERIA S.A.S</t>
  </si>
  <si>
    <t xml:space="preserve">CONSTRUCTOR ABC </t>
  </si>
  <si>
    <t xml:space="preserve">HOSPITAL CENTRAL 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</si>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</sst>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\ #,##0.00"/>
    <numFmt numFmtId="165" formatCode="&quot;$&quot;\ #,##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4" fillId="0" borderId="0" xfId="0" applyFont="1"/>
    <xf numFmtId="0" fontId="0" fillId="0" borderId="1" xfId="0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BDF6-907C-4D80-9D81-A294E4985744}">
  <sheetPr>
    <tabColor rgb="FF00B0F0"/>
  </sheetPr>
  <dimension ref="B2:J61"/>
  <sheetViews>
    <sheetView workbookViewId="0">
      <selection activeCell="G29" sqref="G29"/>
    </sheetView>
  </sheetViews>
  <sheetFormatPr baseColWidth="10" defaultRowHeight="14.5" x14ac:dyDescent="0.35"/>
  <cols>
    <col min="3" max="3" width="16.6328125" customWidth="1"/>
    <col min="4" max="4" width="18.54296875" customWidth="1"/>
    <col min="5" max="5" width="14.36328125" customWidth="1"/>
    <col min="6" max="6" width="18" customWidth="1"/>
    <col min="7" max="7" width="13.453125" customWidth="1"/>
    <col min="8" max="8" width="15.81640625" customWidth="1"/>
    <col min="9" max="9" width="16.453125" customWidth="1"/>
    <col min="10" max="10" width="14.54296875" customWidth="1"/>
  </cols>
  <sheetData>
    <row r="2" spans="2:10" ht="31" x14ac:dyDescent="0.35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4" spans="2:10" ht="23.5" x14ac:dyDescent="0.35">
      <c r="B4" s="17" t="s">
        <v>1</v>
      </c>
      <c r="C4" s="17"/>
      <c r="D4" s="17"/>
      <c r="E4" s="17"/>
      <c r="F4" s="17"/>
      <c r="G4" s="17"/>
      <c r="H4" s="17"/>
      <c r="I4" s="17"/>
      <c r="J4" s="17"/>
    </row>
    <row r="6" spans="2:10" ht="18" customHeight="1" x14ac:dyDescent="0.35">
      <c r="B6" s="2" t="s">
        <v>2</v>
      </c>
      <c r="C6" s="2" t="s">
        <v>3</v>
      </c>
      <c r="D6" s="2" t="s">
        <v>4</v>
      </c>
      <c r="E6" s="2" t="s">
        <v>5</v>
      </c>
      <c r="F6" s="2" t="s">
        <v>6</v>
      </c>
      <c r="G6" s="2" t="s">
        <v>7</v>
      </c>
      <c r="H6" s="2" t="s">
        <v>8</v>
      </c>
      <c r="I6" s="2" t="s">
        <v>9</v>
      </c>
      <c r="J6" s="2" t="s">
        <v>10</v>
      </c>
    </row>
    <row r="7" spans="2:10" ht="31" customHeight="1" x14ac:dyDescent="0.35">
      <c r="B7" s="8">
        <v>1</v>
      </c>
      <c r="C7" s="4" t="s">
        <v>11</v>
      </c>
      <c r="D7" s="4" t="s">
        <v>12</v>
      </c>
      <c r="E7" s="4" t="s">
        <v>13</v>
      </c>
      <c r="F7" s="4" t="s">
        <v>14</v>
      </c>
      <c r="G7" s="4">
        <v>85000</v>
      </c>
      <c r="H7" s="4">
        <v>20</v>
      </c>
      <c r="I7" s="4">
        <v>1</v>
      </c>
      <c r="J7" s="5">
        <v>46169</v>
      </c>
    </row>
    <row r="8" spans="2:10" ht="31" customHeight="1" x14ac:dyDescent="0.35">
      <c r="B8" s="8">
        <v>2</v>
      </c>
      <c r="C8" s="4" t="s">
        <v>15</v>
      </c>
      <c r="D8" s="4" t="s">
        <v>16</v>
      </c>
      <c r="E8" s="4" t="s">
        <v>17</v>
      </c>
      <c r="F8" s="4" t="s">
        <v>18</v>
      </c>
      <c r="G8" s="4">
        <v>120000</v>
      </c>
      <c r="H8" s="4">
        <v>15</v>
      </c>
      <c r="I8" s="4">
        <v>2</v>
      </c>
      <c r="J8" s="5">
        <v>46169</v>
      </c>
    </row>
    <row r="9" spans="2:10" ht="31" customHeight="1" x14ac:dyDescent="0.35">
      <c r="B9" s="8">
        <v>3</v>
      </c>
      <c r="C9" s="4" t="s">
        <v>19</v>
      </c>
      <c r="D9" s="4" t="s">
        <v>20</v>
      </c>
      <c r="E9" s="4" t="s">
        <v>21</v>
      </c>
      <c r="F9" s="4" t="s">
        <v>22</v>
      </c>
      <c r="G9" s="4">
        <v>180000</v>
      </c>
      <c r="H9" s="4">
        <v>10</v>
      </c>
      <c r="I9" s="4">
        <v>3</v>
      </c>
      <c r="J9" s="5">
        <v>46169</v>
      </c>
    </row>
    <row r="10" spans="2:10" ht="31" customHeight="1" x14ac:dyDescent="0.35">
      <c r="B10" s="8">
        <v>4</v>
      </c>
      <c r="C10" s="4" t="s">
        <v>23</v>
      </c>
      <c r="D10" s="4" t="s">
        <v>24</v>
      </c>
      <c r="E10" s="4" t="s">
        <v>17</v>
      </c>
      <c r="F10" s="4" t="s">
        <v>25</v>
      </c>
      <c r="G10" s="4">
        <v>210000</v>
      </c>
      <c r="H10" s="4">
        <v>12</v>
      </c>
      <c r="I10" s="4">
        <v>4</v>
      </c>
      <c r="J10" s="5">
        <v>46169</v>
      </c>
    </row>
    <row r="11" spans="2:10" ht="31" customHeight="1" x14ac:dyDescent="0.35">
      <c r="B11" s="8">
        <v>5</v>
      </c>
      <c r="C11" s="4" t="s">
        <v>26</v>
      </c>
      <c r="D11" s="4" t="s">
        <v>27</v>
      </c>
      <c r="E11" s="4" t="s">
        <v>13</v>
      </c>
      <c r="F11" s="4" t="s">
        <v>28</v>
      </c>
      <c r="G11" s="4">
        <v>95000</v>
      </c>
      <c r="H11" s="4">
        <v>18</v>
      </c>
      <c r="I11" s="4">
        <v>5</v>
      </c>
      <c r="J11" s="5">
        <v>46169</v>
      </c>
    </row>
    <row r="12" spans="2:10" ht="31" customHeight="1" x14ac:dyDescent="0.35">
      <c r="B12" s="8">
        <v>6</v>
      </c>
      <c r="C12" s="4" t="s">
        <v>29</v>
      </c>
      <c r="D12" s="4" t="s">
        <v>30</v>
      </c>
      <c r="E12" s="4" t="s">
        <v>31</v>
      </c>
      <c r="F12" s="4" t="s">
        <v>32</v>
      </c>
      <c r="G12" s="4">
        <v>45000</v>
      </c>
      <c r="H12" s="4">
        <v>30</v>
      </c>
      <c r="I12" s="4">
        <v>3</v>
      </c>
      <c r="J12" s="5">
        <v>46169</v>
      </c>
    </row>
    <row r="13" spans="2:10" ht="31" customHeight="1" x14ac:dyDescent="0.35">
      <c r="B13" s="8">
        <v>7</v>
      </c>
      <c r="C13" s="4" t="s">
        <v>33</v>
      </c>
      <c r="D13" s="4" t="s">
        <v>34</v>
      </c>
      <c r="E13" s="4" t="s">
        <v>35</v>
      </c>
      <c r="F13" s="4" t="s">
        <v>36</v>
      </c>
      <c r="G13" s="4">
        <v>65000</v>
      </c>
      <c r="H13" s="4">
        <v>25</v>
      </c>
      <c r="I13" s="4">
        <v>1</v>
      </c>
      <c r="J13" s="5">
        <v>46169</v>
      </c>
    </row>
    <row r="14" spans="2:10" ht="31" customHeight="1" x14ac:dyDescent="0.35">
      <c r="B14" s="8">
        <v>8</v>
      </c>
      <c r="C14" s="4" t="s">
        <v>37</v>
      </c>
      <c r="D14" s="4" t="s">
        <v>38</v>
      </c>
      <c r="E14" s="4" t="s">
        <v>31</v>
      </c>
      <c r="F14" s="4" t="s">
        <v>28</v>
      </c>
      <c r="G14" s="4">
        <v>25000</v>
      </c>
      <c r="H14" s="4">
        <v>40</v>
      </c>
      <c r="I14" s="4">
        <v>6</v>
      </c>
      <c r="J14" s="5">
        <v>46169</v>
      </c>
    </row>
    <row r="15" spans="2:10" ht="31" customHeight="1" x14ac:dyDescent="0.35">
      <c r="B15" s="8">
        <v>9</v>
      </c>
      <c r="C15" s="4" t="s">
        <v>39</v>
      </c>
      <c r="D15" s="4" t="s">
        <v>40</v>
      </c>
      <c r="E15" s="4" t="s">
        <v>13</v>
      </c>
      <c r="F15" s="4" t="s">
        <v>22</v>
      </c>
      <c r="G15" s="4">
        <v>55000</v>
      </c>
      <c r="H15" s="4">
        <v>16</v>
      </c>
      <c r="I15" s="4">
        <v>7</v>
      </c>
      <c r="J15" s="5">
        <v>46169</v>
      </c>
    </row>
    <row r="16" spans="2:10" ht="31" customHeight="1" x14ac:dyDescent="0.35">
      <c r="B16" s="8">
        <v>10</v>
      </c>
      <c r="C16" s="4" t="s">
        <v>41</v>
      </c>
      <c r="D16" s="4" t="s">
        <v>42</v>
      </c>
      <c r="E16" s="4" t="s">
        <v>13</v>
      </c>
      <c r="F16" s="4" t="s">
        <v>43</v>
      </c>
      <c r="G16" s="4">
        <v>150000</v>
      </c>
      <c r="H16" s="4">
        <v>22</v>
      </c>
      <c r="I16" s="4">
        <v>2</v>
      </c>
      <c r="J16" s="5">
        <v>46169</v>
      </c>
    </row>
    <row r="17" spans="2:10" ht="31" customHeight="1" x14ac:dyDescent="0.35">
      <c r="B17" s="8">
        <v>11</v>
      </c>
      <c r="C17" s="4" t="s">
        <v>44</v>
      </c>
      <c r="D17" s="4" t="s">
        <v>45</v>
      </c>
      <c r="E17" s="4">
        <v>32</v>
      </c>
      <c r="F17" s="4" t="s">
        <v>14</v>
      </c>
      <c r="G17" s="4">
        <v>130000</v>
      </c>
      <c r="H17" s="4">
        <v>14</v>
      </c>
      <c r="I17" s="4">
        <v>8</v>
      </c>
      <c r="J17" s="5">
        <v>46169</v>
      </c>
    </row>
    <row r="18" spans="2:10" ht="31" customHeight="1" x14ac:dyDescent="0.35">
      <c r="B18" s="8">
        <v>12</v>
      </c>
      <c r="C18" s="4" t="s">
        <v>46</v>
      </c>
      <c r="D18" s="4" t="s">
        <v>47</v>
      </c>
      <c r="E18" s="4" t="s">
        <v>17</v>
      </c>
      <c r="F18" s="4" t="s">
        <v>18</v>
      </c>
      <c r="G18" s="4">
        <v>145000</v>
      </c>
      <c r="H18" s="4">
        <v>19</v>
      </c>
      <c r="I18" s="4">
        <v>9</v>
      </c>
      <c r="J18" s="5">
        <v>46169</v>
      </c>
    </row>
    <row r="19" spans="2:10" ht="31" customHeight="1" x14ac:dyDescent="0.35">
      <c r="B19" s="8">
        <v>13</v>
      </c>
      <c r="C19" s="4" t="s">
        <v>48</v>
      </c>
      <c r="D19" s="4" t="s">
        <v>49</v>
      </c>
      <c r="E19" s="4" t="s">
        <v>13</v>
      </c>
      <c r="F19" s="4" t="s">
        <v>50</v>
      </c>
      <c r="G19" s="4">
        <v>99000</v>
      </c>
      <c r="H19" s="4">
        <v>17</v>
      </c>
      <c r="I19" s="4">
        <v>5</v>
      </c>
      <c r="J19" s="5">
        <v>46169</v>
      </c>
    </row>
    <row r="20" spans="2:10" ht="31" customHeight="1" x14ac:dyDescent="0.35">
      <c r="B20" s="8">
        <v>14</v>
      </c>
      <c r="C20" s="4" t="s">
        <v>51</v>
      </c>
      <c r="D20" s="4" t="s">
        <v>52</v>
      </c>
      <c r="E20" s="4" t="s">
        <v>17</v>
      </c>
      <c r="F20" s="4" t="s">
        <v>22</v>
      </c>
      <c r="G20" s="4">
        <v>125000</v>
      </c>
      <c r="H20" s="4">
        <v>13</v>
      </c>
      <c r="I20" s="4">
        <v>5</v>
      </c>
      <c r="J20" s="5">
        <v>46169</v>
      </c>
    </row>
    <row r="21" spans="2:10" ht="31" customHeight="1" x14ac:dyDescent="0.35">
      <c r="B21" s="8">
        <v>15</v>
      </c>
      <c r="C21" s="4" t="s">
        <v>53</v>
      </c>
      <c r="D21" s="4" t="s">
        <v>54</v>
      </c>
      <c r="E21" s="4">
        <v>40</v>
      </c>
      <c r="F21" s="4" t="s">
        <v>18</v>
      </c>
      <c r="G21" s="4">
        <v>220000</v>
      </c>
      <c r="H21" s="4">
        <v>11</v>
      </c>
      <c r="I21" s="4">
        <v>10</v>
      </c>
      <c r="J21" s="5">
        <v>46169</v>
      </c>
    </row>
    <row r="24" spans="2:10" ht="23.5" x14ac:dyDescent="0.35">
      <c r="B24" s="17" t="s">
        <v>55</v>
      </c>
      <c r="C24" s="17"/>
      <c r="D24" s="17"/>
      <c r="E24" s="17"/>
      <c r="F24" s="17"/>
      <c r="G24" s="17"/>
      <c r="H24" s="17"/>
      <c r="I24" s="17"/>
    </row>
    <row r="26" spans="2:10" ht="19.5" customHeight="1" x14ac:dyDescent="0.35">
      <c r="B26" s="1" t="s">
        <v>56</v>
      </c>
      <c r="C26" s="1" t="s">
        <v>57</v>
      </c>
      <c r="D26" s="1" t="s">
        <v>4</v>
      </c>
      <c r="E26" s="1" t="s">
        <v>58</v>
      </c>
      <c r="F26" s="1" t="s">
        <v>59</v>
      </c>
      <c r="G26" s="1" t="s">
        <v>60</v>
      </c>
      <c r="H26" s="1" t="s">
        <v>61</v>
      </c>
      <c r="I26" s="1" t="s">
        <v>62</v>
      </c>
    </row>
    <row r="27" spans="2:10" ht="29" x14ac:dyDescent="0.35">
      <c r="B27" s="8">
        <v>1</v>
      </c>
      <c r="C27" s="4" t="s">
        <v>63</v>
      </c>
      <c r="D27" s="4" t="s">
        <v>78</v>
      </c>
      <c r="E27" s="4" t="s">
        <v>64</v>
      </c>
      <c r="F27" s="4">
        <v>200</v>
      </c>
      <c r="G27" s="4">
        <v>500</v>
      </c>
      <c r="H27" s="4" t="s">
        <v>65</v>
      </c>
      <c r="I27" s="5">
        <v>46169</v>
      </c>
    </row>
    <row r="28" spans="2:10" ht="29" customHeight="1" x14ac:dyDescent="0.35">
      <c r="B28" s="8">
        <v>2</v>
      </c>
      <c r="C28" s="4" t="s">
        <v>66</v>
      </c>
      <c r="D28" s="4" t="s">
        <v>79</v>
      </c>
      <c r="E28" s="4" t="s">
        <v>67</v>
      </c>
      <c r="F28" s="4">
        <v>100</v>
      </c>
      <c r="G28" s="4">
        <v>300</v>
      </c>
      <c r="H28" s="4" t="s">
        <v>68</v>
      </c>
      <c r="I28" s="5">
        <v>46169</v>
      </c>
    </row>
    <row r="29" spans="2:10" ht="29" x14ac:dyDescent="0.35">
      <c r="B29" s="8">
        <v>3</v>
      </c>
      <c r="C29" s="4" t="s">
        <v>80</v>
      </c>
      <c r="D29" s="4" t="s">
        <v>81</v>
      </c>
      <c r="E29" s="4" t="s">
        <v>64</v>
      </c>
      <c r="F29" s="4">
        <v>150</v>
      </c>
      <c r="G29" s="4">
        <v>800</v>
      </c>
      <c r="H29" s="4" t="s">
        <v>82</v>
      </c>
      <c r="I29" s="5">
        <v>46169</v>
      </c>
    </row>
    <row r="30" spans="2:10" ht="29" customHeight="1" x14ac:dyDescent="0.35">
      <c r="B30" s="8">
        <v>4</v>
      </c>
      <c r="C30" s="4" t="s">
        <v>83</v>
      </c>
      <c r="D30" s="4" t="s">
        <v>84</v>
      </c>
      <c r="E30" s="4" t="s">
        <v>85</v>
      </c>
      <c r="F30" s="4">
        <v>80</v>
      </c>
      <c r="G30" s="4">
        <v>2500</v>
      </c>
      <c r="H30" s="4" t="s">
        <v>86</v>
      </c>
      <c r="I30" s="5">
        <v>46169</v>
      </c>
    </row>
    <row r="31" spans="2:10" ht="29" x14ac:dyDescent="0.35">
      <c r="B31" s="8">
        <v>5</v>
      </c>
      <c r="C31" s="4" t="s">
        <v>87</v>
      </c>
      <c r="D31" s="4" t="s">
        <v>88</v>
      </c>
      <c r="E31" s="4" t="s">
        <v>85</v>
      </c>
      <c r="F31" s="4">
        <v>120</v>
      </c>
      <c r="G31" s="4">
        <v>1800</v>
      </c>
      <c r="H31" s="4" t="s">
        <v>89</v>
      </c>
      <c r="I31" s="5">
        <v>46169</v>
      </c>
    </row>
    <row r="32" spans="2:10" ht="29" x14ac:dyDescent="0.35">
      <c r="B32" s="8">
        <v>6</v>
      </c>
      <c r="C32" s="4" t="s">
        <v>90</v>
      </c>
      <c r="D32" s="4" t="s">
        <v>91</v>
      </c>
      <c r="E32" s="4" t="s">
        <v>64</v>
      </c>
      <c r="F32" s="4">
        <v>300</v>
      </c>
      <c r="G32" s="4">
        <v>700</v>
      </c>
      <c r="H32" s="4" t="s">
        <v>92</v>
      </c>
      <c r="I32" s="5">
        <v>46169</v>
      </c>
    </row>
    <row r="33" spans="2:9" ht="29" customHeight="1" x14ac:dyDescent="0.35">
      <c r="B33" s="8">
        <v>7</v>
      </c>
      <c r="C33" s="4" t="s">
        <v>93</v>
      </c>
      <c r="D33" s="4" t="s">
        <v>94</v>
      </c>
      <c r="E33" s="4" t="s">
        <v>95</v>
      </c>
      <c r="F33" s="4">
        <v>60</v>
      </c>
      <c r="G33" s="4">
        <v>3500</v>
      </c>
      <c r="H33" s="4" t="s">
        <v>96</v>
      </c>
      <c r="I33" s="5">
        <v>46169</v>
      </c>
    </row>
    <row r="34" spans="2:9" ht="37" customHeight="1" x14ac:dyDescent="0.35">
      <c r="B34" s="8">
        <v>8</v>
      </c>
      <c r="C34" s="4" t="s">
        <v>97</v>
      </c>
      <c r="D34" s="4" t="s">
        <v>98</v>
      </c>
      <c r="E34" s="4" t="s">
        <v>85</v>
      </c>
      <c r="F34" s="4">
        <v>90</v>
      </c>
      <c r="G34" s="4">
        <v>4200</v>
      </c>
      <c r="H34" s="4" t="s">
        <v>99</v>
      </c>
      <c r="I34" s="5">
        <v>46169</v>
      </c>
    </row>
    <row r="35" spans="2:9" ht="29" x14ac:dyDescent="0.35">
      <c r="B35" s="8">
        <v>9</v>
      </c>
      <c r="C35" s="4" t="s">
        <v>100</v>
      </c>
      <c r="D35" s="4" t="s">
        <v>101</v>
      </c>
      <c r="E35" s="4" t="s">
        <v>95</v>
      </c>
      <c r="F35" s="4">
        <v>45</v>
      </c>
      <c r="G35" s="4">
        <v>5500</v>
      </c>
      <c r="H35" s="4" t="s">
        <v>102</v>
      </c>
      <c r="I35" s="5">
        <v>46169</v>
      </c>
    </row>
    <row r="36" spans="2:9" ht="29" x14ac:dyDescent="0.35">
      <c r="B36" s="8">
        <v>10</v>
      </c>
      <c r="C36" s="4" t="s">
        <v>103</v>
      </c>
      <c r="D36" s="4" t="s">
        <v>104</v>
      </c>
      <c r="E36" s="4" t="s">
        <v>64</v>
      </c>
      <c r="F36" s="4">
        <v>70</v>
      </c>
      <c r="G36" s="4">
        <v>6500</v>
      </c>
      <c r="H36" s="4" t="s">
        <v>105</v>
      </c>
      <c r="I36" s="5">
        <v>46169</v>
      </c>
    </row>
    <row r="37" spans="2:9" ht="29" x14ac:dyDescent="0.35">
      <c r="B37" s="8">
        <v>11</v>
      </c>
      <c r="C37" s="4" t="s">
        <v>106</v>
      </c>
      <c r="D37" s="4" t="s">
        <v>107</v>
      </c>
      <c r="E37" s="4" t="s">
        <v>64</v>
      </c>
      <c r="F37" s="4">
        <v>180</v>
      </c>
      <c r="G37" s="4">
        <v>500</v>
      </c>
      <c r="H37" s="4" t="s">
        <v>65</v>
      </c>
      <c r="I37" s="5">
        <v>46169</v>
      </c>
    </row>
    <row r="38" spans="2:9" ht="29" x14ac:dyDescent="0.35">
      <c r="B38" s="8">
        <v>12</v>
      </c>
      <c r="C38" s="4" t="s">
        <v>108</v>
      </c>
      <c r="D38" s="4" t="s">
        <v>109</v>
      </c>
      <c r="E38" s="4" t="s">
        <v>64</v>
      </c>
      <c r="F38" s="4">
        <v>25</v>
      </c>
      <c r="G38" s="4">
        <v>4000</v>
      </c>
      <c r="H38" s="4" t="s">
        <v>110</v>
      </c>
      <c r="I38" s="5">
        <v>46169</v>
      </c>
    </row>
    <row r="39" spans="2:9" ht="34" customHeight="1" x14ac:dyDescent="0.35">
      <c r="B39" s="8">
        <v>13</v>
      </c>
      <c r="C39" s="4" t="s">
        <v>111</v>
      </c>
      <c r="D39" s="4" t="s">
        <v>112</v>
      </c>
      <c r="E39" s="4" t="s">
        <v>113</v>
      </c>
      <c r="F39" s="4">
        <v>40</v>
      </c>
      <c r="G39" s="4">
        <v>9000</v>
      </c>
      <c r="H39" s="4" t="s">
        <v>114</v>
      </c>
      <c r="I39" s="5">
        <v>46169</v>
      </c>
    </row>
    <row r="40" spans="2:9" x14ac:dyDescent="0.35">
      <c r="B40" s="8">
        <v>14</v>
      </c>
      <c r="C40" s="4" t="s">
        <v>115</v>
      </c>
      <c r="D40" s="4" t="s">
        <v>116</v>
      </c>
      <c r="E40" s="4" t="s">
        <v>95</v>
      </c>
      <c r="F40" s="4">
        <v>50</v>
      </c>
      <c r="G40" s="4">
        <v>2500</v>
      </c>
      <c r="H40" s="4" t="s">
        <v>117</v>
      </c>
      <c r="I40" s="5">
        <v>46169</v>
      </c>
    </row>
    <row r="41" spans="2:9" ht="32" customHeight="1" x14ac:dyDescent="0.35">
      <c r="B41" s="8">
        <v>15</v>
      </c>
      <c r="C41" s="4" t="s">
        <v>118</v>
      </c>
      <c r="D41" s="4" t="s">
        <v>119</v>
      </c>
      <c r="E41" s="4" t="s">
        <v>120</v>
      </c>
      <c r="F41" s="4">
        <v>110</v>
      </c>
      <c r="G41" s="6"/>
      <c r="H41" s="6"/>
      <c r="I41" s="6"/>
    </row>
    <row r="44" spans="2:9" ht="23.5" x14ac:dyDescent="0.35">
      <c r="B44" s="17" t="s">
        <v>69</v>
      </c>
      <c r="C44" s="17"/>
      <c r="D44" s="17"/>
      <c r="E44" s="17"/>
      <c r="F44" s="17"/>
      <c r="G44" s="17"/>
      <c r="H44" s="17"/>
      <c r="I44" s="17"/>
    </row>
    <row r="46" spans="2:9" ht="29" x14ac:dyDescent="0.35">
      <c r="B46" s="3" t="s">
        <v>9</v>
      </c>
      <c r="C46" s="3" t="s">
        <v>70</v>
      </c>
      <c r="D46" s="3" t="s">
        <v>71</v>
      </c>
      <c r="E46" s="3" t="s">
        <v>72</v>
      </c>
      <c r="F46" s="3" t="s">
        <v>58</v>
      </c>
      <c r="G46" s="3" t="s">
        <v>60</v>
      </c>
      <c r="H46" s="3" t="s">
        <v>61</v>
      </c>
      <c r="I46" s="3" t="s">
        <v>73</v>
      </c>
    </row>
    <row r="47" spans="2:9" ht="29" x14ac:dyDescent="0.35">
      <c r="B47" s="8">
        <v>1</v>
      </c>
      <c r="C47" s="4" t="s">
        <v>74</v>
      </c>
      <c r="D47" s="4" t="s">
        <v>121</v>
      </c>
      <c r="E47" s="4">
        <v>100</v>
      </c>
      <c r="F47" s="4" t="s">
        <v>75</v>
      </c>
      <c r="G47" s="4">
        <v>15000</v>
      </c>
      <c r="H47" s="4" t="s">
        <v>65</v>
      </c>
      <c r="I47" s="5">
        <v>46169</v>
      </c>
    </row>
    <row r="48" spans="2:9" ht="29" x14ac:dyDescent="0.35">
      <c r="B48" s="8">
        <v>2</v>
      </c>
      <c r="C48" s="4" t="s">
        <v>76</v>
      </c>
      <c r="D48" s="4" t="s">
        <v>122</v>
      </c>
      <c r="E48" s="4">
        <v>80</v>
      </c>
      <c r="F48" s="4" t="s">
        <v>75</v>
      </c>
      <c r="G48" s="4">
        <v>18000</v>
      </c>
      <c r="H48" s="4" t="s">
        <v>77</v>
      </c>
      <c r="I48" s="5">
        <v>46169</v>
      </c>
    </row>
    <row r="49" spans="2:9" ht="29" x14ac:dyDescent="0.35">
      <c r="B49" s="8">
        <v>3</v>
      </c>
      <c r="C49" s="4" t="s">
        <v>123</v>
      </c>
      <c r="D49" s="4" t="s">
        <v>124</v>
      </c>
      <c r="E49" s="4">
        <v>60</v>
      </c>
      <c r="F49" s="4" t="s">
        <v>75</v>
      </c>
      <c r="G49" s="4">
        <v>22000</v>
      </c>
      <c r="H49" s="4" t="s">
        <v>125</v>
      </c>
      <c r="I49" s="5">
        <v>46169</v>
      </c>
    </row>
    <row r="50" spans="2:9" ht="29" x14ac:dyDescent="0.35">
      <c r="B50" s="8">
        <v>4</v>
      </c>
      <c r="C50" s="4" t="s">
        <v>126</v>
      </c>
      <c r="D50" s="4" t="s">
        <v>127</v>
      </c>
      <c r="E50" s="4">
        <v>75</v>
      </c>
      <c r="F50" s="4" t="s">
        <v>75</v>
      </c>
      <c r="G50" s="4">
        <v>25000</v>
      </c>
      <c r="H50" s="4" t="s">
        <v>128</v>
      </c>
      <c r="I50" s="5">
        <v>46169</v>
      </c>
    </row>
    <row r="51" spans="2:9" ht="29" x14ac:dyDescent="0.35">
      <c r="B51" s="8">
        <v>5</v>
      </c>
      <c r="C51" s="4" t="s">
        <v>129</v>
      </c>
      <c r="D51" s="4" t="s">
        <v>130</v>
      </c>
      <c r="E51" s="4">
        <v>90</v>
      </c>
      <c r="F51" s="4" t="s">
        <v>75</v>
      </c>
      <c r="G51" s="4">
        <v>17000</v>
      </c>
      <c r="H51" s="4" t="s">
        <v>131</v>
      </c>
      <c r="I51" s="5">
        <v>46169</v>
      </c>
    </row>
    <row r="52" spans="2:9" ht="29" x14ac:dyDescent="0.35">
      <c r="B52" s="8">
        <v>6</v>
      </c>
      <c r="C52" s="4" t="s">
        <v>132</v>
      </c>
      <c r="D52" s="4" t="s">
        <v>133</v>
      </c>
      <c r="E52" s="4">
        <v>110</v>
      </c>
      <c r="F52" s="4" t="s">
        <v>75</v>
      </c>
      <c r="G52" s="4">
        <v>13000</v>
      </c>
      <c r="H52" s="4" t="s">
        <v>134</v>
      </c>
      <c r="I52" s="5">
        <v>46169</v>
      </c>
    </row>
    <row r="53" spans="2:9" ht="29" x14ac:dyDescent="0.35">
      <c r="B53" s="8">
        <v>7</v>
      </c>
      <c r="C53" s="4" t="s">
        <v>135</v>
      </c>
      <c r="D53" s="4" t="s">
        <v>136</v>
      </c>
      <c r="E53" s="4">
        <v>40</v>
      </c>
      <c r="F53" s="4" t="s">
        <v>75</v>
      </c>
      <c r="G53" s="4">
        <v>35000</v>
      </c>
      <c r="H53" s="4" t="s">
        <v>137</v>
      </c>
      <c r="I53" s="5">
        <v>46169</v>
      </c>
    </row>
    <row r="54" spans="2:9" ht="24.5" customHeight="1" x14ac:dyDescent="0.35">
      <c r="B54" s="8">
        <v>8</v>
      </c>
      <c r="C54" s="4" t="s">
        <v>138</v>
      </c>
      <c r="D54" s="4" t="s">
        <v>139</v>
      </c>
      <c r="E54" s="4">
        <v>95</v>
      </c>
      <c r="F54" s="4" t="s">
        <v>75</v>
      </c>
      <c r="G54" s="4">
        <v>20000</v>
      </c>
      <c r="H54" s="4" t="s">
        <v>140</v>
      </c>
      <c r="I54" s="5">
        <v>46169</v>
      </c>
    </row>
    <row r="55" spans="2:9" ht="31" customHeight="1" x14ac:dyDescent="0.35">
      <c r="B55" s="8">
        <v>9</v>
      </c>
      <c r="C55" s="4" t="s">
        <v>141</v>
      </c>
      <c r="D55" s="4" t="s">
        <v>142</v>
      </c>
      <c r="E55" s="4">
        <v>70</v>
      </c>
      <c r="F55" s="4" t="s">
        <v>75</v>
      </c>
      <c r="G55" s="4">
        <v>16000</v>
      </c>
      <c r="H55" s="4" t="s">
        <v>143</v>
      </c>
      <c r="I55" s="5">
        <v>46169</v>
      </c>
    </row>
    <row r="56" spans="2:9" ht="29" x14ac:dyDescent="0.35">
      <c r="B56" s="8">
        <v>10</v>
      </c>
      <c r="C56" s="4" t="s">
        <v>144</v>
      </c>
      <c r="D56" s="4" t="s">
        <v>145</v>
      </c>
      <c r="E56" s="4">
        <v>55</v>
      </c>
      <c r="F56" s="4" t="s">
        <v>146</v>
      </c>
      <c r="G56" s="4">
        <v>28000</v>
      </c>
      <c r="H56" s="4" t="s">
        <v>147</v>
      </c>
      <c r="I56" s="5">
        <v>46169</v>
      </c>
    </row>
    <row r="57" spans="2:9" ht="29" x14ac:dyDescent="0.35">
      <c r="B57" s="8">
        <v>11</v>
      </c>
      <c r="C57" s="4" t="s">
        <v>148</v>
      </c>
      <c r="D57" s="4" t="s">
        <v>149</v>
      </c>
      <c r="E57" s="4">
        <v>85</v>
      </c>
      <c r="F57" s="4" t="s">
        <v>75</v>
      </c>
      <c r="G57" s="4">
        <v>14500</v>
      </c>
      <c r="H57" s="4" t="s">
        <v>150</v>
      </c>
      <c r="I57" s="5">
        <v>46169</v>
      </c>
    </row>
    <row r="58" spans="2:9" ht="29" x14ac:dyDescent="0.35">
      <c r="B58" s="8">
        <v>12</v>
      </c>
      <c r="C58" s="4" t="s">
        <v>151</v>
      </c>
      <c r="D58" s="4" t="s">
        <v>152</v>
      </c>
      <c r="E58" s="4">
        <v>50</v>
      </c>
      <c r="F58" s="4" t="s">
        <v>75</v>
      </c>
      <c r="G58" s="4">
        <v>24000</v>
      </c>
      <c r="H58" s="4" t="s">
        <v>153</v>
      </c>
      <c r="I58" s="5">
        <v>46169</v>
      </c>
    </row>
    <row r="59" spans="2:9" ht="29" x14ac:dyDescent="0.35">
      <c r="B59" s="8">
        <v>13</v>
      </c>
      <c r="C59" s="4" t="s">
        <v>154</v>
      </c>
      <c r="D59" s="4" t="s">
        <v>155</v>
      </c>
      <c r="E59" s="4">
        <v>65</v>
      </c>
      <c r="F59" s="4" t="s">
        <v>75</v>
      </c>
      <c r="G59" s="4">
        <v>21000</v>
      </c>
      <c r="H59" s="4" t="s">
        <v>156</v>
      </c>
      <c r="I59" s="5">
        <v>46169</v>
      </c>
    </row>
    <row r="60" spans="2:9" ht="29" x14ac:dyDescent="0.35">
      <c r="B60" s="8">
        <v>14</v>
      </c>
      <c r="C60" s="4" t="s">
        <v>157</v>
      </c>
      <c r="D60" s="4" t="s">
        <v>158</v>
      </c>
      <c r="E60" s="4">
        <v>30</v>
      </c>
      <c r="F60" s="4" t="s">
        <v>159</v>
      </c>
      <c r="G60" s="4">
        <v>32000</v>
      </c>
      <c r="H60" s="4" t="s">
        <v>160</v>
      </c>
      <c r="I60" s="5">
        <v>46169</v>
      </c>
    </row>
    <row r="61" spans="2:9" ht="29" x14ac:dyDescent="0.35">
      <c r="B61" s="8">
        <v>15</v>
      </c>
      <c r="C61" s="4" t="s">
        <v>161</v>
      </c>
      <c r="D61" s="4" t="s">
        <v>162</v>
      </c>
      <c r="E61" s="4">
        <v>45</v>
      </c>
      <c r="F61" s="4" t="s">
        <v>75</v>
      </c>
      <c r="G61" s="6"/>
      <c r="H61" s="6"/>
      <c r="I61" s="6"/>
    </row>
  </sheetData>
  <mergeCells count="4">
    <mergeCell ref="B2:J2"/>
    <mergeCell ref="B4:J4"/>
    <mergeCell ref="B24:I24"/>
    <mergeCell ref="B44:I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AA219-29AE-44A7-86AA-A085E1DA6D35}">
  <sheetPr>
    <tabColor rgb="FF0070C0"/>
  </sheetPr>
  <dimension ref="B2:H133"/>
  <sheetViews>
    <sheetView tabSelected="1" topLeftCell="A8" zoomScaleNormal="100" workbookViewId="0">
      <selection activeCell="AA133" sqref="AA133"/>
    </sheetView>
  </sheetViews>
  <sheetFormatPr baseColWidth="10" defaultRowHeight="14.5" x14ac:dyDescent="0.35"/>
  <cols>
    <col min="3" max="3" width="21.90625" customWidth="1"/>
    <col min="4" max="4" width="25.90625" customWidth="1"/>
    <col min="5" max="5" width="18.1796875" customWidth="1"/>
    <col min="6" max="6" width="16.90625" customWidth="1"/>
  </cols>
  <sheetData>
    <row r="2" spans="2:8" ht="31" x14ac:dyDescent="0.35">
      <c r="B2" s="16" t="s">
        <v>163</v>
      </c>
      <c r="C2" s="16"/>
      <c r="D2" s="16"/>
      <c r="E2" s="16"/>
      <c r="F2" s="16"/>
      <c r="G2" s="16"/>
      <c r="H2" s="16"/>
    </row>
    <row r="4" spans="2:8" ht="23.5" x14ac:dyDescent="0.35">
      <c r="B4" s="17" t="s">
        <v>164</v>
      </c>
      <c r="C4" s="17"/>
      <c r="D4" s="17"/>
      <c r="E4" s="17"/>
      <c r="F4" s="7"/>
    </row>
    <row r="6" spans="2:8" ht="14.5" customHeight="1" x14ac:dyDescent="0.35">
      <c r="B6" s="9" t="s">
        <v>5</v>
      </c>
      <c r="C6" s="9" t="s">
        <v>165</v>
      </c>
      <c r="D6" s="9" t="s">
        <v>166</v>
      </c>
      <c r="E6" s="9" t="s">
        <v>167</v>
      </c>
    </row>
    <row r="7" spans="2:8" x14ac:dyDescent="0.35">
      <c r="B7" s="4" t="s">
        <v>35</v>
      </c>
      <c r="C7" s="4" t="s">
        <v>168</v>
      </c>
      <c r="D7" s="4">
        <v>1</v>
      </c>
      <c r="E7" s="4">
        <v>8</v>
      </c>
    </row>
    <row r="8" spans="2:8" x14ac:dyDescent="0.35">
      <c r="B8" s="4" t="s">
        <v>13</v>
      </c>
      <c r="C8" s="4" t="s">
        <v>169</v>
      </c>
      <c r="D8" s="4">
        <v>1</v>
      </c>
      <c r="E8" s="4">
        <v>8</v>
      </c>
    </row>
    <row r="9" spans="2:8" x14ac:dyDescent="0.35">
      <c r="B9" s="4" t="s">
        <v>17</v>
      </c>
      <c r="C9" s="4" t="s">
        <v>170</v>
      </c>
      <c r="D9" s="4">
        <v>2</v>
      </c>
      <c r="E9" s="4">
        <v>8</v>
      </c>
    </row>
    <row r="10" spans="2:8" x14ac:dyDescent="0.35">
      <c r="B10" s="4" t="s">
        <v>21</v>
      </c>
      <c r="C10" s="4" t="s">
        <v>171</v>
      </c>
      <c r="D10" s="4">
        <v>2</v>
      </c>
      <c r="E10" s="4">
        <v>9</v>
      </c>
    </row>
    <row r="13" spans="2:8" ht="23.5" x14ac:dyDescent="0.35">
      <c r="B13" s="17" t="s">
        <v>172</v>
      </c>
      <c r="C13" s="17"/>
      <c r="D13" s="17"/>
      <c r="E13" s="17"/>
      <c r="F13" s="17"/>
    </row>
    <row r="14" spans="2:8" x14ac:dyDescent="0.35">
      <c r="E14" t="s">
        <v>35</v>
      </c>
    </row>
    <row r="15" spans="2:8" ht="18.5" customHeight="1" x14ac:dyDescent="0.35">
      <c r="B15" s="9" t="s">
        <v>5</v>
      </c>
      <c r="C15" s="9" t="s">
        <v>173</v>
      </c>
      <c r="D15" s="9" t="s">
        <v>166</v>
      </c>
      <c r="E15" s="9" t="s">
        <v>174</v>
      </c>
      <c r="F15" s="9" t="s">
        <v>167</v>
      </c>
    </row>
    <row r="16" spans="2:8" x14ac:dyDescent="0.35">
      <c r="B16" s="4">
        <v>30</v>
      </c>
      <c r="C16" s="4" t="s">
        <v>175</v>
      </c>
      <c r="D16" s="4">
        <v>1</v>
      </c>
      <c r="E16" s="4">
        <v>1</v>
      </c>
      <c r="F16" s="4">
        <v>1</v>
      </c>
    </row>
    <row r="17" spans="2:6" x14ac:dyDescent="0.35">
      <c r="B17" s="4">
        <v>32</v>
      </c>
      <c r="C17" s="4" t="s">
        <v>176</v>
      </c>
      <c r="D17" s="4">
        <v>1</v>
      </c>
      <c r="E17" s="4">
        <v>1</v>
      </c>
      <c r="F17" s="4">
        <v>1</v>
      </c>
    </row>
    <row r="18" spans="2:6" x14ac:dyDescent="0.35">
      <c r="B18" s="4">
        <v>34</v>
      </c>
      <c r="C18" s="4" t="s">
        <v>177</v>
      </c>
      <c r="D18" s="4">
        <v>2</v>
      </c>
      <c r="E18" s="4">
        <v>1</v>
      </c>
      <c r="F18" s="4">
        <v>1</v>
      </c>
    </row>
    <row r="19" spans="2:6" x14ac:dyDescent="0.35">
      <c r="B19" s="4">
        <v>36</v>
      </c>
      <c r="C19" s="4" t="s">
        <v>178</v>
      </c>
      <c r="D19" s="4">
        <v>2</v>
      </c>
      <c r="E19" s="4">
        <v>1</v>
      </c>
      <c r="F19" s="4">
        <v>1</v>
      </c>
    </row>
    <row r="22" spans="2:6" ht="23.5" x14ac:dyDescent="0.35">
      <c r="B22" s="17" t="s">
        <v>179</v>
      </c>
      <c r="C22" s="17"/>
      <c r="D22" s="17"/>
      <c r="E22" s="17"/>
    </row>
    <row r="24" spans="2:6" ht="15" customHeight="1" x14ac:dyDescent="0.35">
      <c r="B24" s="9" t="s">
        <v>5</v>
      </c>
      <c r="C24" s="9" t="s">
        <v>180</v>
      </c>
      <c r="D24" s="9" t="s">
        <v>181</v>
      </c>
      <c r="E24" s="9" t="s">
        <v>174</v>
      </c>
    </row>
    <row r="25" spans="2:6" x14ac:dyDescent="0.35">
      <c r="B25" s="4" t="s">
        <v>13</v>
      </c>
      <c r="C25" s="4" t="s">
        <v>171</v>
      </c>
      <c r="D25" s="4">
        <v>2</v>
      </c>
      <c r="E25" s="4">
        <v>1</v>
      </c>
    </row>
    <row r="26" spans="2:6" x14ac:dyDescent="0.35">
      <c r="B26" s="4" t="s">
        <v>17</v>
      </c>
      <c r="C26" s="4" t="s">
        <v>182</v>
      </c>
      <c r="D26" s="4" t="s">
        <v>183</v>
      </c>
      <c r="E26" s="4">
        <v>1</v>
      </c>
    </row>
    <row r="27" spans="2:6" x14ac:dyDescent="0.35">
      <c r="B27" s="4" t="s">
        <v>21</v>
      </c>
      <c r="C27" s="4" t="s">
        <v>184</v>
      </c>
      <c r="D27" s="4" t="s">
        <v>185</v>
      </c>
      <c r="E27" s="4">
        <v>1</v>
      </c>
    </row>
    <row r="28" spans="2:6" x14ac:dyDescent="0.35">
      <c r="B28" s="4" t="s">
        <v>186</v>
      </c>
      <c r="C28" s="4" t="s">
        <v>185</v>
      </c>
      <c r="D28" s="4" t="s">
        <v>187</v>
      </c>
      <c r="E28" s="4">
        <v>1</v>
      </c>
    </row>
    <row r="31" spans="2:6" ht="23.5" x14ac:dyDescent="0.35">
      <c r="B31" s="17" t="s">
        <v>188</v>
      </c>
      <c r="C31" s="17"/>
      <c r="D31" s="17"/>
      <c r="E31" s="17"/>
    </row>
    <row r="33" spans="2:8" ht="18" customHeight="1" x14ac:dyDescent="0.35">
      <c r="B33" s="9" t="s">
        <v>5</v>
      </c>
      <c r="C33" s="9" t="s">
        <v>189</v>
      </c>
      <c r="D33" s="9" t="s">
        <v>174</v>
      </c>
      <c r="E33" s="9" t="s">
        <v>166</v>
      </c>
    </row>
    <row r="34" spans="2:8" x14ac:dyDescent="0.35">
      <c r="B34" s="4" t="s">
        <v>13</v>
      </c>
      <c r="C34" s="4" t="s">
        <v>185</v>
      </c>
      <c r="D34" s="4">
        <v>1</v>
      </c>
      <c r="E34" s="4">
        <v>2</v>
      </c>
    </row>
    <row r="35" spans="2:8" x14ac:dyDescent="0.35">
      <c r="B35" s="4" t="s">
        <v>17</v>
      </c>
      <c r="C35" s="4" t="s">
        <v>187</v>
      </c>
      <c r="D35" s="4">
        <v>1</v>
      </c>
      <c r="E35" s="4">
        <v>2</v>
      </c>
    </row>
    <row r="36" spans="2:8" x14ac:dyDescent="0.35">
      <c r="B36" s="4" t="s">
        <v>21</v>
      </c>
      <c r="C36" s="4" t="s">
        <v>190</v>
      </c>
      <c r="D36" s="4">
        <v>1</v>
      </c>
      <c r="E36" s="4">
        <v>3</v>
      </c>
      <c r="H36" t="s">
        <v>281</v>
      </c>
    </row>
    <row r="37" spans="2:8" x14ac:dyDescent="0.35">
      <c r="B37" s="4" t="s">
        <v>186</v>
      </c>
      <c r="C37" s="4" t="s">
        <v>191</v>
      </c>
      <c r="D37" s="4">
        <v>1</v>
      </c>
      <c r="E37" s="4">
        <v>3</v>
      </c>
    </row>
    <row r="40" spans="2:8" ht="23.5" x14ac:dyDescent="0.35">
      <c r="B40" s="17" t="s">
        <v>192</v>
      </c>
      <c r="C40" s="17"/>
      <c r="D40" s="17"/>
      <c r="E40" s="17"/>
    </row>
    <row r="42" spans="2:8" ht="18" customHeight="1" x14ac:dyDescent="0.35">
      <c r="B42" s="9" t="s">
        <v>5</v>
      </c>
      <c r="C42" s="9" t="s">
        <v>193</v>
      </c>
      <c r="D42" s="9" t="s">
        <v>166</v>
      </c>
      <c r="E42" s="9" t="s">
        <v>167</v>
      </c>
    </row>
    <row r="43" spans="2:8" x14ac:dyDescent="0.35">
      <c r="B43" s="4" t="s">
        <v>35</v>
      </c>
      <c r="C43" s="4" t="s">
        <v>176</v>
      </c>
      <c r="D43" s="4">
        <v>1</v>
      </c>
      <c r="E43" s="4">
        <v>6</v>
      </c>
    </row>
    <row r="44" spans="2:8" x14ac:dyDescent="0.35">
      <c r="B44" s="4" t="s">
        <v>13</v>
      </c>
      <c r="C44" s="4" t="s">
        <v>177</v>
      </c>
      <c r="D44" s="4">
        <v>1</v>
      </c>
      <c r="E44" s="4">
        <v>6</v>
      </c>
    </row>
    <row r="45" spans="2:8" x14ac:dyDescent="0.35">
      <c r="B45" s="4" t="s">
        <v>17</v>
      </c>
      <c r="C45" s="4" t="s">
        <v>178</v>
      </c>
      <c r="D45" s="4">
        <v>2</v>
      </c>
      <c r="E45" s="4">
        <v>7</v>
      </c>
    </row>
    <row r="46" spans="2:8" x14ac:dyDescent="0.35">
      <c r="B46" s="4" t="s">
        <v>21</v>
      </c>
      <c r="C46" s="4" t="s">
        <v>194</v>
      </c>
      <c r="D46" s="4">
        <v>2</v>
      </c>
      <c r="E46" s="4">
        <v>7</v>
      </c>
    </row>
    <row r="49" spans="2:5" ht="23.5" x14ac:dyDescent="0.35">
      <c r="B49" s="17" t="s">
        <v>195</v>
      </c>
      <c r="C49" s="17"/>
      <c r="D49" s="17"/>
      <c r="E49" s="17"/>
    </row>
    <row r="51" spans="2:5" ht="16" customHeight="1" x14ac:dyDescent="0.35">
      <c r="B51" s="9" t="s">
        <v>5</v>
      </c>
      <c r="C51" s="9" t="s">
        <v>180</v>
      </c>
      <c r="D51" s="9" t="s">
        <v>181</v>
      </c>
      <c r="E51" s="9" t="s">
        <v>196</v>
      </c>
    </row>
    <row r="52" spans="2:5" x14ac:dyDescent="0.35">
      <c r="B52" s="4" t="s">
        <v>35</v>
      </c>
      <c r="C52" s="4" t="s">
        <v>197</v>
      </c>
      <c r="D52" s="4" t="s">
        <v>168</v>
      </c>
      <c r="E52" s="4" t="s">
        <v>198</v>
      </c>
    </row>
    <row r="53" spans="2:5" x14ac:dyDescent="0.35">
      <c r="B53" s="4" t="s">
        <v>13</v>
      </c>
      <c r="C53" s="4" t="s">
        <v>199</v>
      </c>
      <c r="D53" s="4" t="s">
        <v>176</v>
      </c>
      <c r="E53" s="4" t="s">
        <v>200</v>
      </c>
    </row>
    <row r="54" spans="2:5" x14ac:dyDescent="0.35">
      <c r="B54" s="4" t="s">
        <v>17</v>
      </c>
      <c r="C54" s="4" t="s">
        <v>168</v>
      </c>
      <c r="D54" s="4" t="s">
        <v>171</v>
      </c>
      <c r="E54" s="4" t="s">
        <v>201</v>
      </c>
    </row>
    <row r="55" spans="2:5" x14ac:dyDescent="0.35">
      <c r="B55" s="4" t="s">
        <v>21</v>
      </c>
      <c r="C55" s="4" t="s">
        <v>169</v>
      </c>
      <c r="D55" s="4" t="s">
        <v>182</v>
      </c>
      <c r="E55" s="4" t="s">
        <v>201</v>
      </c>
    </row>
    <row r="58" spans="2:5" ht="23.5" x14ac:dyDescent="0.35">
      <c r="B58" s="17" t="s">
        <v>202</v>
      </c>
      <c r="C58" s="17"/>
      <c r="D58" s="17"/>
      <c r="E58" s="17"/>
    </row>
    <row r="60" spans="2:5" ht="17" customHeight="1" x14ac:dyDescent="0.35">
      <c r="B60" s="9" t="s">
        <v>5</v>
      </c>
      <c r="C60" s="9" t="s">
        <v>203</v>
      </c>
      <c r="D60" s="9" t="s">
        <v>166</v>
      </c>
      <c r="E60" s="9" t="s">
        <v>167</v>
      </c>
    </row>
    <row r="61" spans="2:5" x14ac:dyDescent="0.35">
      <c r="B61" s="4" t="s">
        <v>35</v>
      </c>
      <c r="C61" s="4" t="s">
        <v>204</v>
      </c>
      <c r="D61" s="4">
        <v>1</v>
      </c>
      <c r="E61" s="4">
        <v>3</v>
      </c>
    </row>
    <row r="62" spans="2:5" x14ac:dyDescent="0.35">
      <c r="B62" s="4" t="s">
        <v>13</v>
      </c>
      <c r="C62" s="4" t="s">
        <v>175</v>
      </c>
      <c r="D62" s="4">
        <v>1</v>
      </c>
      <c r="E62" s="4">
        <v>3</v>
      </c>
    </row>
    <row r="63" spans="2:5" x14ac:dyDescent="0.35">
      <c r="B63" s="4" t="s">
        <v>17</v>
      </c>
      <c r="C63" s="4" t="s">
        <v>176</v>
      </c>
      <c r="D63" s="4">
        <v>2</v>
      </c>
      <c r="E63" s="4">
        <v>3</v>
      </c>
    </row>
    <row r="64" spans="2:5" x14ac:dyDescent="0.35">
      <c r="B64" s="4" t="s">
        <v>21</v>
      </c>
      <c r="C64" s="4" t="s">
        <v>177</v>
      </c>
      <c r="D64" s="4">
        <v>2</v>
      </c>
      <c r="E64" s="4">
        <v>3</v>
      </c>
    </row>
    <row r="67" spans="2:5" ht="23.5" x14ac:dyDescent="0.35">
      <c r="B67" s="17" t="s">
        <v>205</v>
      </c>
      <c r="C67" s="17"/>
      <c r="D67" s="17"/>
      <c r="E67" s="17"/>
    </row>
    <row r="69" spans="2:5" ht="19.5" customHeight="1" x14ac:dyDescent="0.35">
      <c r="B69" s="9" t="s">
        <v>5</v>
      </c>
      <c r="C69" s="9" t="s">
        <v>206</v>
      </c>
      <c r="D69" s="9" t="s">
        <v>166</v>
      </c>
      <c r="E69" s="9" t="s">
        <v>207</v>
      </c>
    </row>
    <row r="70" spans="2:5" x14ac:dyDescent="0.35">
      <c r="B70" s="4" t="s">
        <v>31</v>
      </c>
      <c r="C70" s="4" t="s">
        <v>198</v>
      </c>
      <c r="D70" s="4">
        <v>1</v>
      </c>
      <c r="E70" s="4" t="s">
        <v>208</v>
      </c>
    </row>
    <row r="73" spans="2:5" ht="23.5" x14ac:dyDescent="0.35">
      <c r="B73" s="17" t="s">
        <v>209</v>
      </c>
      <c r="C73" s="17"/>
      <c r="D73" s="17"/>
      <c r="E73" s="17"/>
    </row>
    <row r="75" spans="2:5" ht="16" customHeight="1" x14ac:dyDescent="0.35">
      <c r="B75" s="9" t="s">
        <v>5</v>
      </c>
      <c r="C75" s="9" t="s">
        <v>210</v>
      </c>
      <c r="D75" s="9" t="s">
        <v>166</v>
      </c>
      <c r="E75" s="9" t="s">
        <v>196</v>
      </c>
    </row>
    <row r="76" spans="2:5" x14ac:dyDescent="0.35">
      <c r="B76" s="4" t="s">
        <v>35</v>
      </c>
      <c r="C76" s="4" t="s">
        <v>199</v>
      </c>
      <c r="D76" s="4">
        <v>1</v>
      </c>
      <c r="E76" s="4" t="s">
        <v>208</v>
      </c>
    </row>
    <row r="77" spans="2:5" x14ac:dyDescent="0.35">
      <c r="B77" s="4" t="s">
        <v>13</v>
      </c>
      <c r="C77" s="4" t="s">
        <v>168</v>
      </c>
      <c r="D77" s="4">
        <v>1</v>
      </c>
      <c r="E77" s="4" t="s">
        <v>198</v>
      </c>
    </row>
    <row r="78" spans="2:5" x14ac:dyDescent="0.35">
      <c r="B78" s="4" t="s">
        <v>17</v>
      </c>
      <c r="C78" s="4" t="s">
        <v>169</v>
      </c>
      <c r="D78" s="4">
        <v>2</v>
      </c>
      <c r="E78" s="4" t="s">
        <v>200</v>
      </c>
    </row>
    <row r="79" spans="2:5" x14ac:dyDescent="0.35">
      <c r="B79" s="4" t="s">
        <v>21</v>
      </c>
      <c r="C79" s="4" t="s">
        <v>170</v>
      </c>
      <c r="D79" s="4">
        <v>2</v>
      </c>
      <c r="E79" s="4" t="s">
        <v>201</v>
      </c>
    </row>
    <row r="82" spans="2:5" ht="23.5" x14ac:dyDescent="0.35">
      <c r="B82" s="17" t="s">
        <v>211</v>
      </c>
      <c r="C82" s="17"/>
      <c r="D82" s="17"/>
      <c r="E82" s="17"/>
    </row>
    <row r="84" spans="2:5" ht="17.5" customHeight="1" x14ac:dyDescent="0.35">
      <c r="B84" s="9" t="s">
        <v>5</v>
      </c>
      <c r="C84" s="9" t="s">
        <v>212</v>
      </c>
      <c r="D84" s="9" t="s">
        <v>166</v>
      </c>
      <c r="E84" s="9" t="s">
        <v>167</v>
      </c>
    </row>
    <row r="85" spans="2:5" x14ac:dyDescent="0.35">
      <c r="B85" s="4">
        <v>10</v>
      </c>
      <c r="C85" s="4" t="s">
        <v>171</v>
      </c>
      <c r="D85" s="4">
        <v>1</v>
      </c>
      <c r="E85" s="4">
        <v>6</v>
      </c>
    </row>
    <row r="86" spans="2:5" x14ac:dyDescent="0.35">
      <c r="B86" s="4">
        <v>12</v>
      </c>
      <c r="C86" s="4" t="s">
        <v>182</v>
      </c>
      <c r="D86" s="4">
        <v>1</v>
      </c>
      <c r="E86" s="4">
        <v>6</v>
      </c>
    </row>
    <row r="87" spans="2:5" x14ac:dyDescent="0.35">
      <c r="B87" s="4">
        <v>14</v>
      </c>
      <c r="C87" s="4" t="s">
        <v>183</v>
      </c>
      <c r="D87" s="4">
        <v>2</v>
      </c>
      <c r="E87" s="4">
        <v>7</v>
      </c>
    </row>
    <row r="88" spans="2:5" x14ac:dyDescent="0.35">
      <c r="B88" s="4">
        <v>16</v>
      </c>
      <c r="C88" s="4" t="s">
        <v>185</v>
      </c>
      <c r="D88" s="4">
        <v>2</v>
      </c>
      <c r="E88" s="4">
        <v>7</v>
      </c>
    </row>
    <row r="91" spans="2:5" ht="23.5" x14ac:dyDescent="0.35">
      <c r="B91" s="17" t="s">
        <v>213</v>
      </c>
      <c r="C91" s="17"/>
      <c r="D91" s="17"/>
      <c r="E91" s="17"/>
    </row>
    <row r="93" spans="2:5" ht="13.5" customHeight="1" x14ac:dyDescent="0.35">
      <c r="B93" s="9" t="s">
        <v>5</v>
      </c>
      <c r="C93" s="9" t="s">
        <v>214</v>
      </c>
      <c r="D93" s="9" t="s">
        <v>166</v>
      </c>
      <c r="E93" s="9" t="s">
        <v>174</v>
      </c>
    </row>
    <row r="94" spans="2:5" x14ac:dyDescent="0.35">
      <c r="B94" s="4">
        <v>30</v>
      </c>
      <c r="C94" s="4" t="s">
        <v>169</v>
      </c>
      <c r="D94" s="4">
        <v>1</v>
      </c>
      <c r="E94" s="4">
        <v>1</v>
      </c>
    </row>
    <row r="95" spans="2:5" x14ac:dyDescent="0.35">
      <c r="B95" s="4">
        <v>32</v>
      </c>
      <c r="C95" s="4" t="s">
        <v>170</v>
      </c>
      <c r="D95" s="4">
        <v>1</v>
      </c>
      <c r="E95" s="4">
        <v>1</v>
      </c>
    </row>
    <row r="96" spans="2:5" x14ac:dyDescent="0.35">
      <c r="B96" s="4">
        <v>34</v>
      </c>
      <c r="C96" s="4" t="s">
        <v>171</v>
      </c>
      <c r="D96" s="4">
        <v>2</v>
      </c>
      <c r="E96" s="4">
        <v>1</v>
      </c>
    </row>
    <row r="97" spans="2:5" x14ac:dyDescent="0.35">
      <c r="B97" s="4">
        <v>36</v>
      </c>
      <c r="C97" s="4" t="s">
        <v>182</v>
      </c>
      <c r="D97" s="4">
        <v>2</v>
      </c>
      <c r="E97" s="4">
        <v>1</v>
      </c>
    </row>
    <row r="100" spans="2:5" ht="23.5" x14ac:dyDescent="0.35">
      <c r="B100" s="17" t="s">
        <v>215</v>
      </c>
      <c r="C100" s="17"/>
      <c r="D100" s="17"/>
      <c r="E100" s="17"/>
    </row>
    <row r="102" spans="2:5" x14ac:dyDescent="0.35">
      <c r="B102" s="9" t="s">
        <v>5</v>
      </c>
      <c r="C102" s="9" t="s">
        <v>216</v>
      </c>
      <c r="D102" s="9" t="s">
        <v>207</v>
      </c>
      <c r="E102" s="9" t="s">
        <v>166</v>
      </c>
    </row>
    <row r="103" spans="2:5" x14ac:dyDescent="0.35">
      <c r="B103" s="4" t="s">
        <v>35</v>
      </c>
      <c r="C103" s="4" t="s">
        <v>170</v>
      </c>
      <c r="D103" s="4" t="s">
        <v>197</v>
      </c>
      <c r="E103" s="4">
        <v>1</v>
      </c>
    </row>
    <row r="104" spans="2:5" x14ac:dyDescent="0.35">
      <c r="B104" s="4" t="s">
        <v>13</v>
      </c>
      <c r="C104" s="4" t="s">
        <v>171</v>
      </c>
      <c r="D104" s="4">
        <v>1</v>
      </c>
      <c r="E104" s="4">
        <v>1</v>
      </c>
    </row>
    <row r="105" spans="2:5" x14ac:dyDescent="0.35">
      <c r="B105" s="4" t="s">
        <v>17</v>
      </c>
      <c r="C105" s="4" t="s">
        <v>182</v>
      </c>
      <c r="D105" s="4" t="s">
        <v>168</v>
      </c>
      <c r="E105" s="4">
        <v>2</v>
      </c>
    </row>
    <row r="106" spans="2:5" x14ac:dyDescent="0.35">
      <c r="B106" s="4" t="s">
        <v>21</v>
      </c>
      <c r="C106" s="4" t="s">
        <v>183</v>
      </c>
      <c r="D106" s="4" t="s">
        <v>169</v>
      </c>
      <c r="E106" s="4">
        <v>2</v>
      </c>
    </row>
    <row r="109" spans="2:5" ht="23.5" x14ac:dyDescent="0.35">
      <c r="B109" s="17" t="s">
        <v>217</v>
      </c>
      <c r="C109" s="17"/>
      <c r="D109" s="17"/>
      <c r="E109" s="17"/>
    </row>
    <row r="111" spans="2:5" ht="14.5" customHeight="1" x14ac:dyDescent="0.35">
      <c r="B111" s="9" t="s">
        <v>5</v>
      </c>
      <c r="C111" s="9" t="s">
        <v>193</v>
      </c>
      <c r="D111" s="9" t="s">
        <v>166</v>
      </c>
      <c r="E111" s="9" t="s">
        <v>167</v>
      </c>
    </row>
    <row r="112" spans="2:5" x14ac:dyDescent="0.35">
      <c r="B112" s="4" t="s">
        <v>35</v>
      </c>
      <c r="C112" s="4" t="s">
        <v>175</v>
      </c>
      <c r="D112" s="4">
        <v>1</v>
      </c>
      <c r="E112" s="4">
        <v>7</v>
      </c>
    </row>
    <row r="113" spans="2:5" x14ac:dyDescent="0.35">
      <c r="B113" s="4" t="s">
        <v>13</v>
      </c>
      <c r="C113" s="4" t="s">
        <v>176</v>
      </c>
      <c r="D113" s="4">
        <v>1</v>
      </c>
      <c r="E113" s="4">
        <v>7</v>
      </c>
    </row>
    <row r="114" spans="2:5" x14ac:dyDescent="0.35">
      <c r="B114" s="4" t="s">
        <v>17</v>
      </c>
      <c r="C114" s="4" t="s">
        <v>177</v>
      </c>
      <c r="D114" s="4">
        <v>2</v>
      </c>
      <c r="E114" s="4">
        <v>8</v>
      </c>
    </row>
    <row r="115" spans="2:5" x14ac:dyDescent="0.35">
      <c r="B115" s="4" t="s">
        <v>21</v>
      </c>
      <c r="C115" s="4" t="s">
        <v>178</v>
      </c>
      <c r="D115" s="4">
        <v>2</v>
      </c>
      <c r="E115" s="4">
        <v>8</v>
      </c>
    </row>
    <row r="118" spans="2:5" ht="23.5" x14ac:dyDescent="0.35">
      <c r="B118" s="18" t="s">
        <v>218</v>
      </c>
      <c r="C118" s="19"/>
      <c r="D118" s="19"/>
      <c r="E118" s="20"/>
    </row>
    <row r="120" spans="2:5" ht="19" customHeight="1" x14ac:dyDescent="0.35">
      <c r="B120" s="9" t="s">
        <v>5</v>
      </c>
      <c r="C120" s="9" t="s">
        <v>193</v>
      </c>
      <c r="D120" s="9" t="s">
        <v>166</v>
      </c>
      <c r="E120" s="9" t="s">
        <v>207</v>
      </c>
    </row>
    <row r="121" spans="2:5" x14ac:dyDescent="0.35">
      <c r="B121" s="4" t="s">
        <v>35</v>
      </c>
      <c r="C121" s="4" t="s">
        <v>177</v>
      </c>
      <c r="D121" s="4">
        <v>1</v>
      </c>
      <c r="E121" s="4" t="s">
        <v>201</v>
      </c>
    </row>
    <row r="122" spans="2:5" x14ac:dyDescent="0.35">
      <c r="B122" s="4" t="s">
        <v>13</v>
      </c>
      <c r="C122" s="4" t="s">
        <v>178</v>
      </c>
      <c r="D122" s="4">
        <v>1</v>
      </c>
      <c r="E122" s="4" t="s">
        <v>219</v>
      </c>
    </row>
    <row r="123" spans="2:5" x14ac:dyDescent="0.35">
      <c r="B123" s="4" t="s">
        <v>17</v>
      </c>
      <c r="C123" s="4" t="s">
        <v>194</v>
      </c>
      <c r="D123" s="4">
        <v>2</v>
      </c>
      <c r="E123" s="4" t="s">
        <v>220</v>
      </c>
    </row>
    <row r="124" spans="2:5" x14ac:dyDescent="0.35">
      <c r="B124" s="4" t="s">
        <v>21</v>
      </c>
      <c r="C124" s="4" t="s">
        <v>184</v>
      </c>
      <c r="D124" s="4">
        <v>2</v>
      </c>
      <c r="E124" s="4" t="s">
        <v>197</v>
      </c>
    </row>
    <row r="127" spans="2:5" ht="23.5" x14ac:dyDescent="0.35">
      <c r="B127" s="17" t="s">
        <v>221</v>
      </c>
      <c r="C127" s="17"/>
      <c r="D127" s="17"/>
      <c r="E127" s="17"/>
    </row>
    <row r="129" spans="2:5" ht="19.5" customHeight="1" x14ac:dyDescent="0.35">
      <c r="B129" s="9" t="s">
        <v>5</v>
      </c>
      <c r="C129" s="9" t="s">
        <v>222</v>
      </c>
      <c r="D129" s="9" t="s">
        <v>223</v>
      </c>
      <c r="E129" s="9" t="s">
        <v>224</v>
      </c>
    </row>
    <row r="130" spans="2:5" x14ac:dyDescent="0.35">
      <c r="B130" s="4">
        <v>38</v>
      </c>
      <c r="C130" s="4" t="s">
        <v>168</v>
      </c>
      <c r="D130" s="4">
        <v>1</v>
      </c>
      <c r="E130" s="4">
        <v>2</v>
      </c>
    </row>
    <row r="131" spans="2:5" x14ac:dyDescent="0.35">
      <c r="B131" s="4">
        <v>39</v>
      </c>
      <c r="C131" s="4" t="s">
        <v>175</v>
      </c>
      <c r="D131" s="4">
        <v>1</v>
      </c>
      <c r="E131" s="4">
        <v>2</v>
      </c>
    </row>
    <row r="132" spans="2:5" x14ac:dyDescent="0.35">
      <c r="B132" s="4">
        <v>40</v>
      </c>
      <c r="C132" s="4" t="s">
        <v>169</v>
      </c>
      <c r="D132" s="4">
        <v>1</v>
      </c>
      <c r="E132" s="4">
        <v>2</v>
      </c>
    </row>
    <row r="133" spans="2:5" x14ac:dyDescent="0.35">
      <c r="B133" s="4">
        <v>41</v>
      </c>
      <c r="C133" s="4" t="s">
        <v>176</v>
      </c>
      <c r="D133" s="4">
        <v>1</v>
      </c>
      <c r="E133" s="4">
        <v>2</v>
      </c>
    </row>
  </sheetData>
  <mergeCells count="16">
    <mergeCell ref="B100:E100"/>
    <mergeCell ref="B109:E109"/>
    <mergeCell ref="B118:E118"/>
    <mergeCell ref="B127:E127"/>
    <mergeCell ref="B4:E4"/>
    <mergeCell ref="B49:E49"/>
    <mergeCell ref="B58:E58"/>
    <mergeCell ref="B67:E67"/>
    <mergeCell ref="B73:E73"/>
    <mergeCell ref="B82:E82"/>
    <mergeCell ref="B91:E91"/>
    <mergeCell ref="B2:H2"/>
    <mergeCell ref="B13:F13"/>
    <mergeCell ref="B22:E22"/>
    <mergeCell ref="B31:E31"/>
    <mergeCell ref="B40:E4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4F72B-B65E-4BCE-8DD0-A4FCB471CC72}">
  <sheetPr>
    <tabColor rgb="FFFFC000"/>
  </sheetPr>
  <dimension ref="B2:F5"/>
  <sheetViews>
    <sheetView workbookViewId="0">
      <selection activeCell="G20" sqref="G20"/>
    </sheetView>
  </sheetViews>
  <sheetFormatPr baseColWidth="10" defaultRowHeight="14.5" x14ac:dyDescent="0.35"/>
  <sheetData>
    <row r="2" spans="2:6" x14ac:dyDescent="0.35">
      <c r="B2" s="2" t="s">
        <v>257</v>
      </c>
      <c r="C2" s="2" t="s">
        <v>258</v>
      </c>
      <c r="D2" s="2" t="s">
        <v>259</v>
      </c>
      <c r="E2" s="2" t="s">
        <v>260</v>
      </c>
      <c r="F2" s="2" t="s">
        <v>261</v>
      </c>
    </row>
    <row r="3" spans="2:6" ht="29" x14ac:dyDescent="0.35">
      <c r="B3" s="15" t="s">
        <v>262</v>
      </c>
      <c r="C3" s="15" t="s">
        <v>263</v>
      </c>
      <c r="D3" s="15" t="s">
        <v>11</v>
      </c>
      <c r="E3" s="15" t="s">
        <v>13</v>
      </c>
      <c r="F3" s="15">
        <v>50</v>
      </c>
    </row>
    <row r="4" spans="2:6" ht="29" x14ac:dyDescent="0.35">
      <c r="B4" s="15" t="s">
        <v>264</v>
      </c>
      <c r="C4" s="15" t="s">
        <v>265</v>
      </c>
      <c r="D4" s="15" t="s">
        <v>23</v>
      </c>
      <c r="E4" s="15" t="s">
        <v>17</v>
      </c>
      <c r="F4" s="15">
        <v>30</v>
      </c>
    </row>
    <row r="5" spans="2:6" ht="29" x14ac:dyDescent="0.35">
      <c r="B5" s="15" t="s">
        <v>266</v>
      </c>
      <c r="C5" s="15" t="s">
        <v>267</v>
      </c>
      <c r="D5" s="15" t="s">
        <v>26</v>
      </c>
      <c r="E5" s="15" t="s">
        <v>21</v>
      </c>
      <c r="F5" s="15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1AD16-E91F-4DDF-BC59-4C8A7541AD3B}">
  <sheetPr>
    <tabColor rgb="FFFFFF00"/>
  </sheetPr>
  <dimension ref="B2:L26"/>
  <sheetViews>
    <sheetView topLeftCell="B4" workbookViewId="0">
      <selection activeCell="C26" sqref="C26"/>
    </sheetView>
  </sheetViews>
  <sheetFormatPr baseColWidth="10" defaultRowHeight="14.5" x14ac:dyDescent="0.35"/>
  <cols>
    <col min="3" max="3" width="44.36328125" customWidth="1"/>
    <col min="5" max="5" width="11" bestFit="1" customWidth="1"/>
    <col min="6" max="6" width="12.81640625" bestFit="1" customWidth="1"/>
    <col min="8" max="8" width="11" bestFit="1" customWidth="1"/>
    <col min="9" max="9" width="12.81640625" bestFit="1" customWidth="1"/>
    <col min="10" max="10" width="11.08984375" bestFit="1" customWidth="1"/>
    <col min="11" max="11" width="13.54296875" customWidth="1"/>
    <col min="12" max="12" width="13.81640625" bestFit="1" customWidth="1"/>
  </cols>
  <sheetData>
    <row r="2" spans="2:12" x14ac:dyDescent="0.35">
      <c r="B2" s="30" t="s">
        <v>234</v>
      </c>
      <c r="C2" s="31"/>
      <c r="D2" s="31"/>
      <c r="E2" s="31"/>
      <c r="F2" s="31"/>
      <c r="G2" s="31"/>
      <c r="H2" s="31"/>
      <c r="I2" s="31"/>
      <c r="J2" s="31"/>
      <c r="K2" s="31"/>
      <c r="L2" s="32"/>
    </row>
    <row r="3" spans="2:12" x14ac:dyDescent="0.35">
      <c r="B3" s="30" t="s">
        <v>235</v>
      </c>
      <c r="C3" s="31"/>
      <c r="D3" s="31"/>
      <c r="E3" s="31"/>
      <c r="F3" s="31"/>
      <c r="G3" s="31"/>
      <c r="H3" s="31"/>
      <c r="I3" s="31"/>
      <c r="J3" s="31"/>
      <c r="K3" s="31"/>
      <c r="L3" s="32"/>
    </row>
    <row r="4" spans="2:12" x14ac:dyDescent="0.35">
      <c r="B4" s="33" t="s">
        <v>236</v>
      </c>
      <c r="C4" s="34"/>
      <c r="D4" s="34"/>
      <c r="E4" s="34"/>
      <c r="F4" s="34"/>
      <c r="G4" s="35"/>
      <c r="H4" s="33" t="s">
        <v>239</v>
      </c>
      <c r="I4" s="36"/>
      <c r="J4" s="36"/>
      <c r="K4" s="36"/>
      <c r="L4" s="37"/>
    </row>
    <row r="5" spans="2:12" x14ac:dyDescent="0.35">
      <c r="B5" s="33" t="s">
        <v>237</v>
      </c>
      <c r="C5" s="36"/>
      <c r="D5" s="36"/>
      <c r="E5" s="36"/>
      <c r="F5" s="36"/>
      <c r="G5" s="37"/>
      <c r="H5" s="33" t="s">
        <v>240</v>
      </c>
      <c r="I5" s="36"/>
      <c r="J5" s="36"/>
      <c r="K5" s="36"/>
      <c r="L5" s="37"/>
    </row>
    <row r="6" spans="2:12" x14ac:dyDescent="0.35">
      <c r="B6" s="33" t="s">
        <v>238</v>
      </c>
      <c r="C6" s="36"/>
      <c r="D6" s="36"/>
      <c r="E6" s="36"/>
      <c r="F6" s="36"/>
      <c r="G6" s="37"/>
      <c r="H6" s="33" t="s">
        <v>241</v>
      </c>
      <c r="I6" s="36"/>
      <c r="J6" s="36"/>
      <c r="K6" s="36"/>
      <c r="L6" s="37"/>
    </row>
    <row r="7" spans="2:12" x14ac:dyDescent="0.35">
      <c r="B7" s="21" t="s">
        <v>225</v>
      </c>
      <c r="C7" s="22" t="s">
        <v>226</v>
      </c>
      <c r="D7" s="23" t="s">
        <v>230</v>
      </c>
      <c r="E7" s="23"/>
      <c r="F7" s="23"/>
      <c r="G7" s="24" t="s">
        <v>232</v>
      </c>
      <c r="H7" s="25"/>
      <c r="I7" s="26"/>
      <c r="J7" s="27" t="s">
        <v>233</v>
      </c>
      <c r="K7" s="28"/>
      <c r="L7" s="29"/>
    </row>
    <row r="8" spans="2:12" x14ac:dyDescent="0.35">
      <c r="B8" s="21"/>
      <c r="C8" s="22"/>
      <c r="D8" s="11" t="s">
        <v>227</v>
      </c>
      <c r="E8" s="11" t="s">
        <v>228</v>
      </c>
      <c r="F8" s="11" t="s">
        <v>229</v>
      </c>
      <c r="G8" s="12" t="s">
        <v>227</v>
      </c>
      <c r="H8" s="12" t="s">
        <v>231</v>
      </c>
      <c r="I8" s="12" t="s">
        <v>229</v>
      </c>
      <c r="J8" s="2" t="s">
        <v>227</v>
      </c>
      <c r="K8" s="2" t="s">
        <v>231</v>
      </c>
      <c r="L8" s="2" t="s">
        <v>229</v>
      </c>
    </row>
    <row r="9" spans="2:12" x14ac:dyDescent="0.35">
      <c r="B9" s="5">
        <v>45809</v>
      </c>
      <c r="C9" s="4" t="s">
        <v>242</v>
      </c>
      <c r="D9" s="4"/>
      <c r="E9" s="13"/>
      <c r="F9" s="13"/>
      <c r="G9" s="4"/>
      <c r="H9" s="10"/>
      <c r="I9" s="10"/>
      <c r="J9" s="4">
        <v>150</v>
      </c>
      <c r="K9" s="13">
        <v>35000</v>
      </c>
      <c r="L9" s="13">
        <v>5250000</v>
      </c>
    </row>
    <row r="10" spans="2:12" ht="27" customHeight="1" x14ac:dyDescent="0.35">
      <c r="B10" s="5">
        <v>45810</v>
      </c>
      <c r="C10" s="4" t="s">
        <v>243</v>
      </c>
      <c r="D10" s="4">
        <v>200</v>
      </c>
      <c r="E10" s="13">
        <v>38000</v>
      </c>
      <c r="F10" s="13">
        <v>7600000</v>
      </c>
      <c r="G10" s="4"/>
      <c r="H10" s="10"/>
      <c r="I10" s="10"/>
      <c r="J10" s="4">
        <v>350</v>
      </c>
      <c r="K10" s="13">
        <v>36714</v>
      </c>
      <c r="L10" s="13">
        <v>12849900</v>
      </c>
    </row>
    <row r="11" spans="2:12" ht="25.5" customHeight="1" x14ac:dyDescent="0.35">
      <c r="B11" s="5">
        <v>45811</v>
      </c>
      <c r="C11" s="4" t="s">
        <v>244</v>
      </c>
      <c r="D11" s="4"/>
      <c r="E11" s="13"/>
      <c r="F11" s="13"/>
      <c r="G11" s="4">
        <v>80</v>
      </c>
      <c r="H11" s="13">
        <v>36714</v>
      </c>
      <c r="I11" s="13">
        <v>2937120</v>
      </c>
      <c r="J11" s="4">
        <v>270</v>
      </c>
      <c r="K11" s="13">
        <v>36714</v>
      </c>
      <c r="L11" s="13">
        <v>9912780</v>
      </c>
    </row>
    <row r="12" spans="2:12" x14ac:dyDescent="0.35">
      <c r="B12" s="5">
        <v>45812</v>
      </c>
      <c r="C12" s="4" t="s">
        <v>245</v>
      </c>
      <c r="D12" s="4">
        <v>10</v>
      </c>
      <c r="E12" s="13">
        <v>36714</v>
      </c>
      <c r="F12" s="13">
        <v>367140</v>
      </c>
      <c r="G12" s="4"/>
      <c r="H12" s="13"/>
      <c r="I12" s="13"/>
      <c r="J12" s="4">
        <v>280</v>
      </c>
      <c r="K12" s="13">
        <v>36714</v>
      </c>
      <c r="L12" s="13">
        <v>10279920</v>
      </c>
    </row>
    <row r="13" spans="2:12" x14ac:dyDescent="0.35">
      <c r="B13" s="5">
        <v>45813</v>
      </c>
      <c r="C13" s="4" t="s">
        <v>246</v>
      </c>
      <c r="D13" s="4">
        <v>120</v>
      </c>
      <c r="E13" s="13">
        <v>42000</v>
      </c>
      <c r="F13" s="13">
        <v>5040000</v>
      </c>
      <c r="G13" s="4"/>
      <c r="H13" s="13"/>
      <c r="I13" s="13"/>
      <c r="J13" s="4">
        <v>400</v>
      </c>
      <c r="K13" s="13">
        <v>39799</v>
      </c>
      <c r="L13" s="13">
        <v>15919600</v>
      </c>
    </row>
    <row r="14" spans="2:12" x14ac:dyDescent="0.35">
      <c r="B14" s="5">
        <v>45814</v>
      </c>
      <c r="C14" s="4" t="s">
        <v>247</v>
      </c>
      <c r="D14" s="4"/>
      <c r="E14" s="13"/>
      <c r="F14" s="13"/>
      <c r="G14" s="4">
        <v>100</v>
      </c>
      <c r="H14" s="13">
        <v>39799</v>
      </c>
      <c r="I14" s="13">
        <v>3979900</v>
      </c>
      <c r="J14" s="4">
        <v>300</v>
      </c>
      <c r="K14" s="13">
        <v>39799</v>
      </c>
      <c r="L14" s="13">
        <v>11939700</v>
      </c>
    </row>
    <row r="15" spans="2:12" x14ac:dyDescent="0.35">
      <c r="B15" s="5">
        <v>45815</v>
      </c>
      <c r="C15" s="4" t="s">
        <v>248</v>
      </c>
      <c r="D15" s="4"/>
      <c r="E15" s="13"/>
      <c r="F15" s="13"/>
      <c r="G15" s="4">
        <v>60</v>
      </c>
      <c r="H15" s="13">
        <v>39799</v>
      </c>
      <c r="I15" s="13">
        <v>2387940</v>
      </c>
      <c r="J15" s="4">
        <v>240</v>
      </c>
      <c r="K15" s="13">
        <v>39799</v>
      </c>
      <c r="L15" s="13">
        <v>9551760</v>
      </c>
    </row>
    <row r="16" spans="2:12" x14ac:dyDescent="0.35">
      <c r="B16" s="5">
        <v>45816</v>
      </c>
      <c r="C16" s="4" t="s">
        <v>249</v>
      </c>
      <c r="D16" s="4"/>
      <c r="E16" s="13"/>
      <c r="F16" s="13"/>
      <c r="G16" s="4">
        <v>5</v>
      </c>
      <c r="H16" s="13">
        <v>39799</v>
      </c>
      <c r="I16" s="13">
        <v>198995</v>
      </c>
      <c r="J16" s="4">
        <v>235</v>
      </c>
      <c r="K16" s="13">
        <v>39799</v>
      </c>
      <c r="L16" s="13">
        <v>9352765</v>
      </c>
    </row>
    <row r="17" spans="2:12" x14ac:dyDescent="0.35">
      <c r="B17" s="5">
        <v>45817</v>
      </c>
      <c r="C17" s="4" t="s">
        <v>250</v>
      </c>
      <c r="D17" s="4">
        <v>180</v>
      </c>
      <c r="E17" s="13">
        <v>39000</v>
      </c>
      <c r="F17" s="13">
        <v>7020000</v>
      </c>
      <c r="G17" s="4"/>
      <c r="H17" s="13"/>
      <c r="I17" s="13"/>
      <c r="J17" s="4">
        <v>415</v>
      </c>
      <c r="K17" s="13">
        <v>39452</v>
      </c>
      <c r="L17" s="13">
        <v>16372580</v>
      </c>
    </row>
    <row r="18" spans="2:12" x14ac:dyDescent="0.35">
      <c r="B18" s="5">
        <v>45818</v>
      </c>
      <c r="C18" s="4" t="s">
        <v>251</v>
      </c>
      <c r="D18" s="4"/>
      <c r="E18" s="13"/>
      <c r="F18" s="13"/>
      <c r="G18" s="4">
        <v>150</v>
      </c>
      <c r="H18" s="13">
        <v>39452</v>
      </c>
      <c r="I18" s="13">
        <v>5917800</v>
      </c>
      <c r="J18" s="4">
        <v>265</v>
      </c>
      <c r="K18" s="13">
        <v>39452</v>
      </c>
      <c r="L18" s="13">
        <v>10454780</v>
      </c>
    </row>
    <row r="19" spans="2:12" x14ac:dyDescent="0.35">
      <c r="B19" s="5">
        <v>45819</v>
      </c>
      <c r="C19" s="4" t="s">
        <v>252</v>
      </c>
      <c r="D19" s="4">
        <v>90</v>
      </c>
      <c r="E19" s="13">
        <v>41000</v>
      </c>
      <c r="F19" s="13">
        <v>3690000</v>
      </c>
      <c r="G19" s="4"/>
      <c r="H19" s="13"/>
      <c r="I19" s="13"/>
      <c r="J19" s="4">
        <v>355</v>
      </c>
      <c r="K19" s="13">
        <v>39844</v>
      </c>
      <c r="L19" s="13">
        <v>14144620</v>
      </c>
    </row>
    <row r="20" spans="2:12" x14ac:dyDescent="0.35">
      <c r="B20" s="5">
        <v>45820</v>
      </c>
      <c r="C20" s="4" t="s">
        <v>253</v>
      </c>
      <c r="D20" s="4"/>
      <c r="E20" s="13"/>
      <c r="F20" s="13"/>
      <c r="G20" s="4">
        <v>120</v>
      </c>
      <c r="H20" s="13">
        <v>39844</v>
      </c>
      <c r="I20" s="13">
        <v>4781280</v>
      </c>
      <c r="J20" s="4">
        <v>235</v>
      </c>
      <c r="K20" s="13">
        <v>39844</v>
      </c>
      <c r="L20" s="13">
        <v>9363340</v>
      </c>
    </row>
    <row r="21" spans="2:12" x14ac:dyDescent="0.35">
      <c r="B21" s="5">
        <v>45821</v>
      </c>
      <c r="C21" s="4" t="s">
        <v>254</v>
      </c>
      <c r="D21" s="4">
        <v>140</v>
      </c>
      <c r="E21" s="13">
        <v>45000</v>
      </c>
      <c r="F21" s="13">
        <v>6300000</v>
      </c>
      <c r="G21" s="4"/>
      <c r="H21" s="13"/>
      <c r="I21" s="13"/>
      <c r="J21" s="4">
        <v>375</v>
      </c>
      <c r="K21" s="13">
        <v>41822</v>
      </c>
      <c r="L21" s="13">
        <v>15683250</v>
      </c>
    </row>
    <row r="22" spans="2:12" x14ac:dyDescent="0.35">
      <c r="B22" s="5">
        <v>45822</v>
      </c>
      <c r="C22" s="4" t="s">
        <v>255</v>
      </c>
      <c r="D22" s="4"/>
      <c r="E22" s="13"/>
      <c r="F22" s="13"/>
      <c r="G22" s="4">
        <v>130</v>
      </c>
      <c r="H22" s="13">
        <v>41822</v>
      </c>
      <c r="I22" s="13">
        <v>5436860</v>
      </c>
      <c r="J22" s="4">
        <v>245</v>
      </c>
      <c r="K22" s="13">
        <v>41822</v>
      </c>
      <c r="L22" s="13">
        <v>10246390</v>
      </c>
    </row>
    <row r="23" spans="2:12" x14ac:dyDescent="0.35">
      <c r="B23" s="5">
        <v>45823</v>
      </c>
      <c r="C23" s="4" t="s">
        <v>256</v>
      </c>
      <c r="D23" s="4"/>
      <c r="E23" s="13"/>
      <c r="F23" s="13"/>
      <c r="G23" s="4">
        <v>90</v>
      </c>
      <c r="H23" s="13">
        <v>41822</v>
      </c>
      <c r="I23" s="13">
        <v>3763980</v>
      </c>
      <c r="J23" s="4">
        <v>155</v>
      </c>
      <c r="K23" s="13">
        <v>41822</v>
      </c>
      <c r="L23" s="13">
        <v>6482410</v>
      </c>
    </row>
    <row r="26" spans="2:12" x14ac:dyDescent="0.35">
      <c r="C26" s="14"/>
    </row>
  </sheetData>
  <mergeCells count="13">
    <mergeCell ref="B2:L2"/>
    <mergeCell ref="B3:L3"/>
    <mergeCell ref="B4:G4"/>
    <mergeCell ref="B5:G5"/>
    <mergeCell ref="B6:G6"/>
    <mergeCell ref="H4:L4"/>
    <mergeCell ref="H5:L5"/>
    <mergeCell ref="H6:L6"/>
    <mergeCell ref="B7:B8"/>
    <mergeCell ref="C7:C8"/>
    <mergeCell ref="D7:F7"/>
    <mergeCell ref="G7:I7"/>
    <mergeCell ref="J7:L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CC86B-AD43-4175-A4F6-BD1AD13D3237}">
  <sheetPr>
    <tabColor rgb="FF7030A0"/>
  </sheetPr>
  <dimension ref="B3:E12"/>
  <sheetViews>
    <sheetView workbookViewId="0">
      <selection activeCell="D12" sqref="D12"/>
    </sheetView>
  </sheetViews>
  <sheetFormatPr baseColWidth="10" defaultRowHeight="14.5" x14ac:dyDescent="0.35"/>
  <cols>
    <col min="2" max="2" width="18.26953125" customWidth="1"/>
    <col min="3" max="3" width="5.81640625" customWidth="1"/>
    <col min="4" max="4" width="14.90625" customWidth="1"/>
    <col min="5" max="5" width="15.54296875" customWidth="1"/>
  </cols>
  <sheetData>
    <row r="3" spans="2:5" x14ac:dyDescent="0.35">
      <c r="B3" s="2" t="s">
        <v>259</v>
      </c>
      <c r="C3" s="2" t="s">
        <v>260</v>
      </c>
      <c r="D3" s="2" t="s">
        <v>268</v>
      </c>
      <c r="E3" s="2" t="s">
        <v>269</v>
      </c>
    </row>
    <row r="4" spans="2:5" x14ac:dyDescent="0.35">
      <c r="B4" s="4" t="s">
        <v>11</v>
      </c>
      <c r="C4" s="4" t="s">
        <v>13</v>
      </c>
      <c r="D4" s="4" t="s">
        <v>74</v>
      </c>
      <c r="E4" s="4" t="s">
        <v>169</v>
      </c>
    </row>
    <row r="5" spans="2:5" x14ac:dyDescent="0.35">
      <c r="B5" s="4" t="s">
        <v>11</v>
      </c>
      <c r="C5" s="4" t="s">
        <v>13</v>
      </c>
      <c r="D5" s="4" t="s">
        <v>270</v>
      </c>
      <c r="E5" s="4">
        <v>1</v>
      </c>
    </row>
    <row r="6" spans="2:5" x14ac:dyDescent="0.35">
      <c r="B6" s="4" t="s">
        <v>11</v>
      </c>
      <c r="C6" s="4" t="s">
        <v>13</v>
      </c>
      <c r="D6" s="4" t="s">
        <v>66</v>
      </c>
      <c r="E6" s="4">
        <v>8</v>
      </c>
    </row>
    <row r="7" spans="2:5" x14ac:dyDescent="0.35">
      <c r="B7" s="4" t="s">
        <v>23</v>
      </c>
      <c r="C7" s="4" t="s">
        <v>17</v>
      </c>
      <c r="D7" s="4" t="s">
        <v>76</v>
      </c>
      <c r="E7" s="4" t="s">
        <v>187</v>
      </c>
    </row>
    <row r="8" spans="2:5" x14ac:dyDescent="0.35">
      <c r="B8" s="4" t="s">
        <v>23</v>
      </c>
      <c r="C8" s="4" t="s">
        <v>17</v>
      </c>
      <c r="D8" s="4" t="s">
        <v>271</v>
      </c>
      <c r="E8" s="4">
        <v>1</v>
      </c>
    </row>
    <row r="9" spans="2:5" x14ac:dyDescent="0.35">
      <c r="B9" s="4" t="s">
        <v>23</v>
      </c>
      <c r="C9" s="4" t="s">
        <v>17</v>
      </c>
      <c r="D9" s="4" t="s">
        <v>270</v>
      </c>
      <c r="E9" s="4">
        <v>2</v>
      </c>
    </row>
    <row r="10" spans="2:5" x14ac:dyDescent="0.35">
      <c r="B10" s="4" t="s">
        <v>26</v>
      </c>
      <c r="C10" s="4" t="s">
        <v>21</v>
      </c>
      <c r="D10" s="4" t="s">
        <v>126</v>
      </c>
      <c r="E10" s="4" t="s">
        <v>194</v>
      </c>
    </row>
    <row r="11" spans="2:5" x14ac:dyDescent="0.35">
      <c r="B11" s="4" t="s">
        <v>26</v>
      </c>
      <c r="C11" s="4" t="s">
        <v>21</v>
      </c>
      <c r="D11" s="4" t="s">
        <v>270</v>
      </c>
      <c r="E11" s="4">
        <v>2</v>
      </c>
    </row>
    <row r="12" spans="2:5" x14ac:dyDescent="0.35">
      <c r="B12" s="4" t="s">
        <v>26</v>
      </c>
      <c r="C12" s="4" t="s">
        <v>21</v>
      </c>
      <c r="D12" s="4" t="s">
        <v>66</v>
      </c>
      <c r="E12" s="4"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D0090-ADCC-41A2-8965-6B6D27B4264B}">
  <sheetPr>
    <tabColor theme="5"/>
  </sheetPr>
  <dimension ref="B2:E23"/>
  <sheetViews>
    <sheetView workbookViewId="0">
      <selection activeCell="H17" sqref="H17"/>
    </sheetView>
  </sheetViews>
  <sheetFormatPr baseColWidth="10" defaultRowHeight="14.5" x14ac:dyDescent="0.35"/>
  <cols>
    <col min="2" max="2" width="17.26953125" customWidth="1"/>
    <col min="3" max="3" width="19.08984375" customWidth="1"/>
    <col min="4" max="4" width="19.7265625" customWidth="1"/>
    <col min="5" max="5" width="18.26953125" customWidth="1"/>
  </cols>
  <sheetData>
    <row r="2" spans="2:5" x14ac:dyDescent="0.35">
      <c r="B2" s="38" t="s">
        <v>278</v>
      </c>
      <c r="C2" s="38"/>
      <c r="D2" s="38"/>
      <c r="E2" s="38"/>
    </row>
    <row r="4" spans="2:5" ht="15" customHeight="1" x14ac:dyDescent="0.35">
      <c r="B4" s="2" t="s">
        <v>268</v>
      </c>
      <c r="C4" s="2" t="s">
        <v>272</v>
      </c>
      <c r="D4" s="2" t="s">
        <v>273</v>
      </c>
      <c r="E4" s="2" t="s">
        <v>274</v>
      </c>
    </row>
    <row r="5" spans="2:5" ht="17.5" customHeight="1" x14ac:dyDescent="0.35">
      <c r="B5" s="4" t="s">
        <v>275</v>
      </c>
      <c r="C5" s="4">
        <v>1.4</v>
      </c>
      <c r="D5" s="4">
        <v>50</v>
      </c>
      <c r="E5" s="4">
        <f t="shared" ref="E5:E6" si="0">C5*D5</f>
        <v>70</v>
      </c>
    </row>
    <row r="6" spans="2:5" x14ac:dyDescent="0.35">
      <c r="B6" s="4" t="s">
        <v>276</v>
      </c>
      <c r="C6" s="4">
        <v>1</v>
      </c>
      <c r="D6" s="4">
        <v>50</v>
      </c>
      <c r="E6" s="4">
        <f t="shared" si="0"/>
        <v>50</v>
      </c>
    </row>
    <row r="7" spans="2:5" ht="15.5" customHeight="1" x14ac:dyDescent="0.35">
      <c r="B7" s="4" t="s">
        <v>277</v>
      </c>
      <c r="C7" s="4">
        <v>8</v>
      </c>
      <c r="D7" s="4">
        <v>50</v>
      </c>
      <c r="E7" s="4">
        <f>C7*D7</f>
        <v>400</v>
      </c>
    </row>
    <row r="10" spans="2:5" x14ac:dyDescent="0.35">
      <c r="B10" s="38" t="s">
        <v>279</v>
      </c>
      <c r="C10" s="38"/>
      <c r="D10" s="38"/>
      <c r="E10" s="38"/>
    </row>
    <row r="12" spans="2:5" x14ac:dyDescent="0.35">
      <c r="B12" s="2" t="s">
        <v>268</v>
      </c>
      <c r="C12" s="2" t="s">
        <v>272</v>
      </c>
      <c r="D12" s="2" t="s">
        <v>273</v>
      </c>
      <c r="E12" s="2" t="s">
        <v>274</v>
      </c>
    </row>
    <row r="13" spans="2:5" x14ac:dyDescent="0.35">
      <c r="B13" s="4" t="s">
        <v>275</v>
      </c>
      <c r="C13" s="4">
        <v>1.4</v>
      </c>
      <c r="D13" s="4">
        <v>30</v>
      </c>
      <c r="E13" s="4">
        <f t="shared" ref="E13:E14" si="1">C13*D13</f>
        <v>42</v>
      </c>
    </row>
    <row r="14" spans="2:5" x14ac:dyDescent="0.35">
      <c r="B14" s="4" t="s">
        <v>276</v>
      </c>
      <c r="C14" s="4">
        <v>1</v>
      </c>
      <c r="D14" s="4">
        <v>30</v>
      </c>
      <c r="E14" s="4">
        <f t="shared" si="1"/>
        <v>30</v>
      </c>
    </row>
    <row r="15" spans="2:5" x14ac:dyDescent="0.35">
      <c r="B15" s="4" t="s">
        <v>277</v>
      </c>
      <c r="C15" s="4">
        <v>8</v>
      </c>
      <c r="D15" s="4">
        <v>30</v>
      </c>
      <c r="E15" s="4">
        <f>C15*D15</f>
        <v>240</v>
      </c>
    </row>
    <row r="18" spans="2:5" x14ac:dyDescent="0.35">
      <c r="B18" s="38" t="s">
        <v>280</v>
      </c>
      <c r="C18" s="38"/>
      <c r="D18" s="38"/>
      <c r="E18" s="38"/>
    </row>
    <row r="20" spans="2:5" x14ac:dyDescent="0.35">
      <c r="B20" s="2" t="s">
        <v>268</v>
      </c>
      <c r="C20" s="2" t="s">
        <v>272</v>
      </c>
      <c r="D20" s="2" t="s">
        <v>273</v>
      </c>
      <c r="E20" s="2" t="s">
        <v>274</v>
      </c>
    </row>
    <row r="21" spans="2:5" x14ac:dyDescent="0.35">
      <c r="B21" s="4" t="s">
        <v>275</v>
      </c>
      <c r="C21" s="4">
        <v>1.4</v>
      </c>
      <c r="D21" s="4">
        <v>20</v>
      </c>
      <c r="E21" s="4">
        <f t="shared" ref="E21:E22" si="2">C21*D21</f>
        <v>28</v>
      </c>
    </row>
    <row r="22" spans="2:5" x14ac:dyDescent="0.35">
      <c r="B22" s="4" t="s">
        <v>276</v>
      </c>
      <c r="C22" s="4">
        <v>1</v>
      </c>
      <c r="D22" s="4">
        <v>20</v>
      </c>
      <c r="E22" s="4">
        <f t="shared" si="2"/>
        <v>20</v>
      </c>
    </row>
    <row r="23" spans="2:5" x14ac:dyDescent="0.35">
      <c r="B23" s="4" t="s">
        <v>277</v>
      </c>
      <c r="C23" s="4">
        <v>8</v>
      </c>
      <c r="D23" s="4">
        <v>20</v>
      </c>
      <c r="E23" s="4">
        <f>C23*D23</f>
        <v>160</v>
      </c>
    </row>
  </sheetData>
  <mergeCells count="3">
    <mergeCell ref="B2:E2"/>
    <mergeCell ref="B10:E10"/>
    <mergeCell ref="B18:E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TABLAS DE PRODUCTOS</vt:lpstr>
      <vt:lpstr>CONSUMO MATERIALES</vt:lpstr>
      <vt:lpstr>TABLA PEDIDOS</vt:lpstr>
      <vt:lpstr>EJEMPLO</vt:lpstr>
      <vt:lpstr>TABLA MAESTRA</vt:lpstr>
      <vt:lpstr>EJEMPLO PEDIDO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Lasprilla</dc:creator>
  <cp:lastModifiedBy>Felipe Lasprilla</cp:lastModifiedBy>
  <dcterms:created xsi:type="dcterms:W3CDTF">2026-05-27T16:13:30Z</dcterms:created>
  <dcterms:modified xsi:type="dcterms:W3CDTF">2026-06-09T15:56:19Z</dcterms:modified>
</cp:coreProperties>
</file>